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93665D5E-200E-4609-A615-D7CE67E9EBF2}" xr6:coauthVersionLast="47" xr6:coauthVersionMax="47" xr10:uidLastSave="{00000000-0000-0000-0000-000000000000}"/>
  <bookViews>
    <workbookView xWindow="-108" yWindow="-108" windowWidth="23256" windowHeight="13896" firstSheet="3" activeTab="6" xr2:uid="{5D684B62-B776-4DB8-B7F4-C75791C6867A}"/>
  </bookViews>
  <sheets>
    <sheet name="dữ liệu gốc" sheetId="1" r:id="rId1"/>
    <sheet name="Trình bày thông tin" sheetId="2" r:id="rId2"/>
    <sheet name="Xử lý dữ liệu khuyết" sheetId="3" r:id="rId3"/>
    <sheet name="Xử lý giá trị bất thường" sheetId="7" r:id="rId4"/>
    <sheet name="Xử lý giá trị trùng lặp(kocó)" sheetId="8" r:id="rId5"/>
    <sheet name="Sinh cột dữ liệu mới" sheetId="9" r:id="rId6"/>
    <sheet name="." sheetId="10" r:id="rId7"/>
  </sheets>
  <definedNames>
    <definedName name="_xlnm._FilterDatabase" localSheetId="3" hidden="1">'Xử lý giá trị bất thường'!$A$1:$M$445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0" l="1"/>
  <c r="Z7" i="10"/>
  <c r="Z8" i="10"/>
  <c r="Z5" i="10"/>
  <c r="Y8" i="10"/>
  <c r="Y6" i="10"/>
  <c r="Y7" i="10"/>
  <c r="Y5" i="10"/>
  <c r="S6" i="10"/>
  <c r="S7" i="10"/>
  <c r="S5" i="10"/>
  <c r="V6" i="10"/>
  <c r="V7" i="10"/>
  <c r="V5" i="10"/>
  <c r="R7" i="10"/>
  <c r="R6" i="10"/>
  <c r="R5" i="10"/>
  <c r="N445" i="10"/>
  <c r="N444" i="10"/>
  <c r="N443" i="10"/>
  <c r="N442" i="10"/>
  <c r="N441" i="10"/>
  <c r="N440" i="10"/>
  <c r="N439" i="10"/>
  <c r="N438" i="10"/>
  <c r="N437" i="10"/>
  <c r="N436" i="10"/>
  <c r="N435" i="10"/>
  <c r="N434" i="10"/>
  <c r="N433" i="10"/>
  <c r="N432" i="10"/>
  <c r="N431" i="10"/>
  <c r="N430" i="10"/>
  <c r="N429" i="10"/>
  <c r="N428" i="10"/>
  <c r="N427" i="10"/>
  <c r="N426" i="10"/>
  <c r="N425" i="10"/>
  <c r="N424" i="10"/>
  <c r="N423" i="10"/>
  <c r="N422" i="10"/>
  <c r="N421" i="10"/>
  <c r="N420" i="10"/>
  <c r="N419" i="10"/>
  <c r="N418" i="10"/>
  <c r="N417" i="10"/>
  <c r="N416" i="10"/>
  <c r="N415" i="10"/>
  <c r="N414" i="10"/>
  <c r="N413" i="10"/>
  <c r="N412" i="10"/>
  <c r="N411" i="10"/>
  <c r="N410" i="10"/>
  <c r="N409" i="10"/>
  <c r="N408" i="10"/>
  <c r="N407" i="10"/>
  <c r="N406" i="10"/>
  <c r="N405" i="10"/>
  <c r="N404" i="10"/>
  <c r="N403" i="10"/>
  <c r="N402" i="10"/>
  <c r="N401" i="10"/>
  <c r="N400" i="10"/>
  <c r="N399" i="10"/>
  <c r="N398" i="10"/>
  <c r="N397" i="10"/>
  <c r="N396" i="10"/>
  <c r="N395" i="10"/>
  <c r="N394" i="10"/>
  <c r="N393" i="10"/>
  <c r="N392" i="10"/>
  <c r="N391" i="10"/>
  <c r="N390" i="10"/>
  <c r="N389" i="10"/>
  <c r="N388" i="10"/>
  <c r="N387" i="10"/>
  <c r="N386" i="10"/>
  <c r="N385" i="10"/>
  <c r="N384" i="10"/>
  <c r="N383" i="10"/>
  <c r="N382" i="10"/>
  <c r="N381" i="10"/>
  <c r="N380" i="10"/>
  <c r="N379" i="10"/>
  <c r="N378" i="10"/>
  <c r="N377" i="10"/>
  <c r="N376" i="10"/>
  <c r="N375" i="10"/>
  <c r="N374" i="10"/>
  <c r="N373" i="10"/>
  <c r="N372" i="10"/>
  <c r="N371" i="10"/>
  <c r="N370" i="10"/>
  <c r="N369" i="10"/>
  <c r="N368" i="10"/>
  <c r="N367" i="10"/>
  <c r="N366" i="10"/>
  <c r="N365" i="10"/>
  <c r="N364" i="10"/>
  <c r="N363" i="10"/>
  <c r="N362" i="10"/>
  <c r="N361" i="10"/>
  <c r="N360" i="10"/>
  <c r="N359" i="10"/>
  <c r="N358" i="10"/>
  <c r="N357" i="10"/>
  <c r="N356" i="10"/>
  <c r="N355" i="10"/>
  <c r="N354" i="10"/>
  <c r="N353" i="10"/>
  <c r="N352" i="10"/>
  <c r="N351" i="10"/>
  <c r="N350" i="10"/>
  <c r="N349" i="10"/>
  <c r="N348" i="10"/>
  <c r="N347" i="10"/>
  <c r="N346" i="10"/>
  <c r="N345" i="10"/>
  <c r="N344" i="10"/>
  <c r="N343" i="10"/>
  <c r="N342" i="10"/>
  <c r="N341" i="10"/>
  <c r="N340" i="10"/>
  <c r="N339" i="10"/>
  <c r="N338" i="10"/>
  <c r="N337" i="10"/>
  <c r="N336" i="10"/>
  <c r="N335" i="10"/>
  <c r="N334" i="10"/>
  <c r="N333" i="10"/>
  <c r="N332" i="10"/>
  <c r="N331" i="10"/>
  <c r="N330" i="10"/>
  <c r="N329" i="10"/>
  <c r="N328" i="10"/>
  <c r="N327" i="10"/>
  <c r="N326" i="10"/>
  <c r="N325" i="10"/>
  <c r="N324" i="10"/>
  <c r="N323" i="10"/>
  <c r="N322" i="10"/>
  <c r="N321" i="10"/>
  <c r="N320" i="10"/>
  <c r="N319" i="10"/>
  <c r="N318" i="10"/>
  <c r="N317" i="10"/>
  <c r="N316" i="10"/>
  <c r="N315" i="10"/>
  <c r="N314" i="10"/>
  <c r="N313" i="10"/>
  <c r="N312" i="10"/>
  <c r="N311" i="10"/>
  <c r="N310" i="10"/>
  <c r="N309" i="10"/>
  <c r="N308" i="10"/>
  <c r="N307" i="10"/>
  <c r="N306" i="10"/>
  <c r="N305" i="10"/>
  <c r="N304" i="10"/>
  <c r="N303" i="10"/>
  <c r="N302" i="10"/>
  <c r="N301" i="10"/>
  <c r="N300" i="10"/>
  <c r="N299" i="10"/>
  <c r="N298" i="10"/>
  <c r="N297" i="10"/>
  <c r="N296" i="10"/>
  <c r="N295" i="10"/>
  <c r="N294" i="10"/>
  <c r="N293" i="10"/>
  <c r="N292" i="10"/>
  <c r="N291" i="10"/>
  <c r="N290" i="10"/>
  <c r="N289" i="10"/>
  <c r="N288" i="10"/>
  <c r="N287" i="10"/>
  <c r="N286" i="10"/>
  <c r="N285" i="10"/>
  <c r="N284" i="10"/>
  <c r="N283" i="10"/>
  <c r="N282" i="10"/>
  <c r="N281" i="10"/>
  <c r="N280" i="10"/>
  <c r="N279" i="10"/>
  <c r="N278" i="10"/>
  <c r="N277" i="10"/>
  <c r="N276" i="10"/>
  <c r="N275" i="10"/>
  <c r="N274" i="10"/>
  <c r="N273" i="10"/>
  <c r="N272" i="10"/>
  <c r="N271" i="10"/>
  <c r="N270" i="10"/>
  <c r="N269" i="10"/>
  <c r="N268" i="10"/>
  <c r="N267" i="10"/>
  <c r="N266" i="10"/>
  <c r="N265" i="10"/>
  <c r="N264" i="10"/>
  <c r="N263" i="10"/>
  <c r="N262" i="10"/>
  <c r="N261" i="10"/>
  <c r="N260" i="10"/>
  <c r="N259" i="10"/>
  <c r="N258" i="10"/>
  <c r="N257" i="10"/>
  <c r="N256" i="10"/>
  <c r="N255" i="10"/>
  <c r="N254" i="10"/>
  <c r="N253" i="10"/>
  <c r="N252" i="10"/>
  <c r="N251" i="10"/>
  <c r="N250" i="10"/>
  <c r="N249" i="10"/>
  <c r="N248" i="10"/>
  <c r="N247" i="10"/>
  <c r="N246" i="10"/>
  <c r="N245" i="10"/>
  <c r="N244" i="10"/>
  <c r="N243" i="10"/>
  <c r="N242" i="10"/>
  <c r="N241" i="10"/>
  <c r="N240" i="10"/>
  <c r="N239" i="10"/>
  <c r="N238" i="10"/>
  <c r="N237" i="10"/>
  <c r="N236" i="10"/>
  <c r="N235" i="10"/>
  <c r="N234" i="10"/>
  <c r="N233" i="10"/>
  <c r="N232" i="10"/>
  <c r="N231" i="10"/>
  <c r="N230" i="10"/>
  <c r="N229" i="10"/>
  <c r="N228" i="10"/>
  <c r="N227" i="10"/>
  <c r="N226" i="10"/>
  <c r="N225" i="10"/>
  <c r="N224" i="10"/>
  <c r="N223" i="10"/>
  <c r="N222" i="10"/>
  <c r="N221" i="10"/>
  <c r="N220" i="10"/>
  <c r="N219" i="10"/>
  <c r="N218" i="10"/>
  <c r="N217" i="10"/>
  <c r="N216" i="10"/>
  <c r="N215" i="10"/>
  <c r="N214" i="10"/>
  <c r="N213" i="10"/>
  <c r="N212" i="10"/>
  <c r="N211" i="10"/>
  <c r="N210" i="10"/>
  <c r="N209" i="10"/>
  <c r="N208" i="10"/>
  <c r="N207" i="10"/>
  <c r="N206" i="10"/>
  <c r="N205" i="10"/>
  <c r="N204" i="10"/>
  <c r="N203" i="10"/>
  <c r="N202" i="10"/>
  <c r="N201" i="10"/>
  <c r="N200" i="10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N147" i="10"/>
  <c r="N146" i="10"/>
  <c r="N145" i="10"/>
  <c r="N144" i="10"/>
  <c r="N143" i="10"/>
  <c r="N142" i="10"/>
  <c r="N141" i="10"/>
  <c r="N140" i="10"/>
  <c r="N139" i="10"/>
  <c r="N138" i="10"/>
  <c r="N137" i="10"/>
  <c r="N136" i="10"/>
  <c r="N135" i="10"/>
  <c r="N134" i="10"/>
  <c r="N133" i="10"/>
  <c r="N132" i="10"/>
  <c r="N131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2" i="9"/>
</calcChain>
</file>

<file path=xl/sharedStrings.xml><?xml version="1.0" encoding="utf-8"?>
<sst xmlns="http://schemas.openxmlformats.org/spreadsheetml/2006/main" count="20914" uniqueCount="1265">
  <si>
    <t>Loan_ID,Gender,Married,Dependents,Education,Self_Employed,ApplicantIncome,CoapplicantIncome,LoanAmount,Loan_Amount_Term,Credit_History,Property_Area,Loan_Status</t>
  </si>
  <si>
    <t>LP001002,Male,No,0,Graduate,No,5849,0,,360,1,Urban,Y</t>
  </si>
  <si>
    <t>LP001003,Male,Yes,1,Graduate,No,4583,1508,128,360,1,Rural,N</t>
  </si>
  <si>
    <t>LP001005,Male,Yes,0,Graduate,Yes,3000,0,66,360,1,Urban,Y</t>
  </si>
  <si>
    <t>LP001006,Male,Yes,0,Not Graduate,No,2583,2358,120,360,1,Urban,Y</t>
  </si>
  <si>
    <t>LP001008,Male,No,0,Graduate,No,6000,0,141,360,1,Urban,Y</t>
  </si>
  <si>
    <t>LP001011,Male,Yes,2,Graduate,Yes,5417,4196,267,360,1,Urban,Y</t>
  </si>
  <si>
    <t>LP001013,Male,Yes,0,Not Graduate,No,2333,1516,95,360,1,Urban,Y</t>
  </si>
  <si>
    <t>LP001014,Male,Yes,3+,Graduate,No,3036,2504,158,360,0,Semiurban,N</t>
  </si>
  <si>
    <t>LP001018,Male,Yes,2,Graduate,No,4006,1526,168,360,1,Urban,Y</t>
  </si>
  <si>
    <t>LP001020,Male,Yes,1,Graduate,No,12841,10968,349,360,1,Semiurban,N</t>
  </si>
  <si>
    <t>LP001024,Male,Yes,2,Graduate,No,3200,700,70,360,1,Urban,Y</t>
  </si>
  <si>
    <t>LP001027,Male,Yes,2,Graduate,,2500,1840,109,360,1,Urban,Y</t>
  </si>
  <si>
    <t>LP001028,Male,Yes,2,Graduate,No,3073,8106,200,360,1,Urban,Y</t>
  </si>
  <si>
    <t>LP001029,Male,No,0,Graduate,No,1853,2840,114,360,1,Rural,N</t>
  </si>
  <si>
    <t>LP001030,Male,Yes,2,Graduate,No,1299,1086,17,120,1,Urban,Y</t>
  </si>
  <si>
    <t>LP001032,Male,No,0,Graduate,No,4950,0,125,360,1,Urban,Y</t>
  </si>
  <si>
    <t>LP001034,Male,No,1,Not Graduate,No,3596,0,100,240,,Urban,Y</t>
  </si>
  <si>
    <t>LP001036,Female,No,0,Graduate,No,3510,0,76,360,0,Urban,N</t>
  </si>
  <si>
    <t>LP001038,Male,Yes,0,Not Graduate,No,4887,0,133,360,1,Rural,N</t>
  </si>
  <si>
    <t>LP001041,Male,Yes,0,Graduate,,2600,3500,115,,1,Urban,Y</t>
  </si>
  <si>
    <t>LP001043,Male,Yes,0,Not Graduate,No,7660,0,104,360,0,Urban,N</t>
  </si>
  <si>
    <t>LP001046,Male,Yes,1,Graduate,No,5955,5625,315,360,1,Urban,Y</t>
  </si>
  <si>
    <t>LP001047,Male,Yes,0,Not Graduate,No,2600,1911,116,360,0,Semiurban,N</t>
  </si>
  <si>
    <t>LP001050,,Yes,2,Not Graduate,No,3365,1917,112,360,0,Rural,N</t>
  </si>
  <si>
    <t>LP001052,Male,Yes,1,Graduate,,3717,2925,151,360,,Semiurban,N</t>
  </si>
  <si>
    <t>LP001066,Male,Yes,0,Graduate,Yes,9560,0,191,360,1,Semiurban,Y</t>
  </si>
  <si>
    <t>LP001068,Male,Yes,0,Graduate,No,2799,2253,122,360,1,Semiurban,Y</t>
  </si>
  <si>
    <t>LP001073,Male,Yes,2,Not Graduate,No,4226,1040,110,360,1,Urban,Y</t>
  </si>
  <si>
    <t>LP001086,Male,No,0,Not Graduate,No,1442,0,35,360,1,Urban,N</t>
  </si>
  <si>
    <t>LP001087,Female,No,2,Graduate,,3750,2083,120,360,1,Semiurban,Y</t>
  </si>
  <si>
    <t>LP001091,Male,Yes,1,Graduate,,4166,3369,201,360,,Urban,N</t>
  </si>
  <si>
    <t>LP001095,Male,No,0,Graduate,No,3167,0,74,360,1,Urban,N</t>
  </si>
  <si>
    <t>LP001097,Male,No,1,Graduate,Yes,4692,0,106,360,1,Rural,N</t>
  </si>
  <si>
    <t>LP001098,Male,Yes,0,Graduate,No,3500,1667,114,360,1,Semiurban,Y</t>
  </si>
  <si>
    <t>LP001100,Male,No,3+,Graduate,No,12500,3000,320,360,1,Rural,N</t>
  </si>
  <si>
    <t>LP001106,Male,Yes,0,Graduate,No,2275,2067,,360,1,Urban,Y</t>
  </si>
  <si>
    <t>LP001109,Male,Yes,0,Graduate,No,1828,1330,100,,0,Urban,N</t>
  </si>
  <si>
    <t>LP001112,Female,Yes,0,Graduate,No,3667,1459,144,360,1,Semiurban,Y</t>
  </si>
  <si>
    <t>LP001114,Male,No,0,Graduate,No,4166,7210,184,360,1,Urban,Y</t>
  </si>
  <si>
    <t>LP001116,Male,No,0,Not Graduate,No,3748,1668,110,360,1,Semiurban,Y</t>
  </si>
  <si>
    <t>LP001119,Male,No,0,Graduate,No,3600,0,80,360,1,Urban,N</t>
  </si>
  <si>
    <t>LP001120,Male,No,0,Graduate,No,1800,1213,47,360,1,Urban,Y</t>
  </si>
  <si>
    <t>LP001123,Male,Yes,0,Graduate,No,2400,0,75,360,,Urban,Y</t>
  </si>
  <si>
    <t>LP001131,Male,Yes,0,Graduate,No,3941,2336,134,360,1,Semiurban,Y</t>
  </si>
  <si>
    <t>LP001136,Male,Yes,0,Not Graduate,Yes,4695,0,96,,1,Urban,Y</t>
  </si>
  <si>
    <t>LP001137,Female,No,0,Graduate,No,3410,0,88,,1,Urban,Y</t>
  </si>
  <si>
    <t>LP001138,Male,Yes,1,Graduate,No,5649,0,44,360,1,Urban,Y</t>
  </si>
  <si>
    <t>LP001144,Male,Yes,0,Graduate,No,5821,0,144,360,1,Urban,Y</t>
  </si>
  <si>
    <t>LP001146,Female,Yes,0,Graduate,No,2645,3440,120,360,0,Urban,N</t>
  </si>
  <si>
    <t>LP001151,Female,No,0,Graduate,No,4000,2275,144,360,1,Semiurban,Y</t>
  </si>
  <si>
    <t>LP001155,Female,Yes,0,Not Graduate,No,1928,1644,100,360,1,Semiurban,Y</t>
  </si>
  <si>
    <t>LP001157,Female,No,0,Graduate,No,3086,0,120,360,1,Semiurban,Y</t>
  </si>
  <si>
    <t>LP001164,Female,No,0,Graduate,No,4230,0,112,360,1,Semiurban,N</t>
  </si>
  <si>
    <t>LP001179,Male,Yes,2,Graduate,No,4616,0,134,360,1,Urban,N</t>
  </si>
  <si>
    <t>LP001186,Female,Yes,1,Graduate,Yes,11500,0,286,360,0,Urban,N</t>
  </si>
  <si>
    <t>LP001194,Male,Yes,2,Graduate,No,2708,1167,97,360,1,Semiurban,Y</t>
  </si>
  <si>
    <t>LP001195,Male,Yes,0,Graduate,No,2132,1591,96,360,1,Semiurban,Y</t>
  </si>
  <si>
    <t>LP001197,Male,Yes,0,Graduate,No,3366,2200,135,360,1,Rural,N</t>
  </si>
  <si>
    <t>LP001198,Male,Yes,1,Graduate,No,8080,2250,180,360,1,Urban,Y</t>
  </si>
  <si>
    <t>LP001199,Male,Yes,2,Not Graduate,No,3357,2859,144,360,1,Urban,Y</t>
  </si>
  <si>
    <t>LP001205,Male,Yes,0,Graduate,No,2500,3796,120,360,1,Urban,Y</t>
  </si>
  <si>
    <t>LP001206,Male,Yes,3+,Graduate,No,3029,0,99,360,1,Urban,Y</t>
  </si>
  <si>
    <t>LP001207,Male,Yes,0,Not Graduate,Yes,2609,3449,165,180,0,Rural,N</t>
  </si>
  <si>
    <t>LP001213,Male,Yes,1,Graduate,No,4945,0,,360,0,Rural,N</t>
  </si>
  <si>
    <t>LP001222,Female,No,0,Graduate,No,4166,0,116,360,0,Semiurban,N</t>
  </si>
  <si>
    <t>LP001225,Male,Yes,0,Graduate,No,5726,4595,258,360,1,Semiurban,N</t>
  </si>
  <si>
    <t>LP001228,Male,No,0,Not Graduate,No,3200,2254,126,180,0,Urban,N</t>
  </si>
  <si>
    <t>LP001233,Male,Yes,1,Graduate,No,10750,0,312,360,1,Urban,Y</t>
  </si>
  <si>
    <t>LP001238,Male,Yes,3+,Not Graduate,Yes,7100,0,125,60,1,Urban,Y</t>
  </si>
  <si>
    <t>LP001241,Female,No,0,Graduate,No,4300,0,136,360,0,Semiurban,N</t>
  </si>
  <si>
    <t>LP001243,Male,Yes,0,Graduate,No,3208,3066,172,360,1,Urban,Y</t>
  </si>
  <si>
    <t>LP001245,Male,Yes,2,Not Graduate,Yes,1875,1875,97,360,1,Semiurban,Y</t>
  </si>
  <si>
    <t>LP001248,Male,No,0,Graduate,No,3500,0,81,300,1,Semiurban,Y</t>
  </si>
  <si>
    <t>LP001250,Male,Yes,3+,Not Graduate,No,4755,0,95,,0,Semiurban,N</t>
  </si>
  <si>
    <t>LP001253,Male,Yes,3+,Graduate,Yes,5266,1774,187,360,1,Semiurban,Y</t>
  </si>
  <si>
    <t>LP001255,Male,No,0,Graduate,No,3750,0,113,480,1,Urban,N</t>
  </si>
  <si>
    <t>LP001256,Male,No,0,Graduate,No,3750,4750,176,360,1,Urban,N</t>
  </si>
  <si>
    <t>LP001259,Male,Yes,1,Graduate,Yes,1000,3022,110,360,1,Urban,N</t>
  </si>
  <si>
    <t>LP001263,Male,Yes,3+,Graduate,No,3167,4000,180,300,0,Semiurban,N</t>
  </si>
  <si>
    <t>LP001264,Male,Yes,3+,Not Graduate,Yes,3333,2166,130,360,,Semiurban,Y</t>
  </si>
  <si>
    <t>LP001265,Female,No,0,Graduate,No,3846,0,111,360,1,Semiurban,Y</t>
  </si>
  <si>
    <t>LP001266,Male,Yes,1,Graduate,Yes,2395,0,,360,1,Semiurban,Y</t>
  </si>
  <si>
    <t>LP001267,Female,Yes,2,Graduate,No,1378,1881,167,360,1,Urban,N</t>
  </si>
  <si>
    <t>LP001273,Male,Yes,0,Graduate,No,6000,2250,265,360,,Semiurban,N</t>
  </si>
  <si>
    <t>LP001275,Male,Yes,1,Graduate,No,3988,0,50,240,1,Urban,Y</t>
  </si>
  <si>
    <t>LP001279,Male,No,0,Graduate,No,2366,2531,136,360,1,Semiurban,Y</t>
  </si>
  <si>
    <t>LP001280,Male,Yes,2,Not Graduate,No,3333,2000,99,360,,Semiurban,Y</t>
  </si>
  <si>
    <t>LP001282,Male,Yes,0,Graduate,No,2500,2118,104,360,1,Semiurban,Y</t>
  </si>
  <si>
    <t>LP001289,Male,No,0,Graduate,No,8566,0,210,360,1,Urban,Y</t>
  </si>
  <si>
    <t>LP001310,Male,Yes,0,Graduate,No,5695,4167,175,360,1,Semiurban,Y</t>
  </si>
  <si>
    <t>LP001316,Male,Yes,0,Graduate,No,2958,2900,131,360,1,Semiurban,Y</t>
  </si>
  <si>
    <t>LP001318,Male,Yes,2,Graduate,No,6250,5654,188,180,1,Semiurban,Y</t>
  </si>
  <si>
    <t>LP001319,Male,Yes,2,Not Graduate,No,3273,1820,81,360,1,Urban,Y</t>
  </si>
  <si>
    <t>LP001322,Male,No,0,Graduate,No,4133,0,122,360,1,Semiurban,Y</t>
  </si>
  <si>
    <t>LP001325,Male,No,0,Not Graduate,No,3620,0,25,120,1,Semiurban,Y</t>
  </si>
  <si>
    <t>LP001326,Male,No,0,Graduate,,6782,0,,360,,Urban,N</t>
  </si>
  <si>
    <t>LP001327,Female,Yes,0,Graduate,No,2484,2302,137,360,1,Semiurban,Y</t>
  </si>
  <si>
    <t>LP001333,Male,Yes,0,Graduate,No,1977,997,50,360,1,Semiurban,Y</t>
  </si>
  <si>
    <t>LP001334,Male,Yes,0,Not Graduate,No,4188,0,115,180,1,Semiurban,Y</t>
  </si>
  <si>
    <t>LP001343,Male,Yes,0,Graduate,No,1759,3541,131,360,1,Semiurban,Y</t>
  </si>
  <si>
    <t>LP001345,Male,Yes,2,Not Graduate,No,4288,3263,133,180,1,Urban,Y</t>
  </si>
  <si>
    <t>LP001349,Male,No,0,Graduate,No,4843,3806,151,360,1,Semiurban,Y</t>
  </si>
  <si>
    <t>LP001350,Male,Yes,,Graduate,No,13650,0,,360,1,Urban,Y</t>
  </si>
  <si>
    <t>LP001356,Male,Yes,0,Graduate,No,4652,3583,,360,1,Semiurban,Y</t>
  </si>
  <si>
    <t>LP001357,Male,,,Graduate,No,3816,754,160,360,1,Urban,Y</t>
  </si>
  <si>
    <t>LP001367,Male,Yes,1,Graduate,No,3052,1030,100,360,1,Urban,Y</t>
  </si>
  <si>
    <t>LP001369,Male,Yes,2,Graduate,No,11417,1126,225,360,1,Urban,Y</t>
  </si>
  <si>
    <t>LP001370,Male,No,0,Not Graduate,,7333,0,120,360,1,Rural,N</t>
  </si>
  <si>
    <t>LP001379,Male,Yes,2,Graduate,No,3800,3600,216,360,0,Urban,N</t>
  </si>
  <si>
    <t>LP001384,Male,Yes,3+,Not Graduate,No,2071,754,94,480,1,Semiurban,Y</t>
  </si>
  <si>
    <t>LP001385,Male,No,0,Graduate,No,5316,0,136,360,1,Urban,Y</t>
  </si>
  <si>
    <t>LP001387,Female,Yes,0,Graduate,,2929,2333,139,360,1,Semiurban,Y</t>
  </si>
  <si>
    <t>LP001391,Male,Yes,0,Not Graduate,No,3572,4114,152,,0,Rural,N</t>
  </si>
  <si>
    <t>LP001392,Female,No,1,Graduate,Yes,7451,0,,360,1,Semiurban,Y</t>
  </si>
  <si>
    <t>LP001398,Male,No,0,Graduate,,5050,0,118,360,1,Semiurban,Y</t>
  </si>
  <si>
    <t>LP001401,Male,Yes,1,Graduate,No,14583,0,185,180,1,Rural,Y</t>
  </si>
  <si>
    <t>LP001404,Female,Yes,0,Graduate,No,3167,2283,154,360,1,Semiurban,Y</t>
  </si>
  <si>
    <t>LP001405,Male,Yes,1,Graduate,No,2214,1398,85,360,,Urban,Y</t>
  </si>
  <si>
    <t>LP001421,Male,Yes,0,Graduate,No,5568,2142,175,360,1,Rural,N</t>
  </si>
  <si>
    <t>LP001422,Female,No,0,Graduate,No,10408,0,259,360,1,Urban,Y</t>
  </si>
  <si>
    <t>LP001426,Male,Yes,,Graduate,No,5667,2667,180,360,1,Rural,Y</t>
  </si>
  <si>
    <t>LP001430,Female,No,0,Graduate,No,4166,0,44,360,1,Semiurban,Y</t>
  </si>
  <si>
    <t>LP001431,Female,No,0,Graduate,No,2137,8980,137,360,0,Semiurban,Y</t>
  </si>
  <si>
    <t>LP001432,Male,Yes,2,Graduate,No,2957,0,81,360,1,Semiurban,Y</t>
  </si>
  <si>
    <t>LP001439,Male,Yes,0,Not Graduate,No,4300,2014,194,360,1,Rural,Y</t>
  </si>
  <si>
    <t>LP001443,Female,No,0,Graduate,No,3692,0,93,360,,Rural,Y</t>
  </si>
  <si>
    <t>LP001448,,Yes,3+,Graduate,No,23803,0,370,360,1,Rural,Y</t>
  </si>
  <si>
    <t>LP001449,Male,No,0,Graduate,No,3865,1640,,360,1,Rural,Y</t>
  </si>
  <si>
    <t>LP001451,Male,Yes,1,Graduate,Yes,10513,3850,160,180,0,Urban,N</t>
  </si>
  <si>
    <t>LP001465,Male,Yes,0,Graduate,No,6080,2569,182,360,,Rural,N</t>
  </si>
  <si>
    <t>LP001469,Male,No,0,Graduate,Yes,20166,0,650,480,,Urban,Y</t>
  </si>
  <si>
    <t>LP001473,Male,No,0,Graduate,No,2014,1929,74,360,1,Urban,Y</t>
  </si>
  <si>
    <t>LP001478,Male,No,0,Graduate,No,2718,0,70,360,1,Semiurban,Y</t>
  </si>
  <si>
    <t>LP001482,Male,Yes,0,Graduate,Yes,3459,0,25,120,1,Semiurban,Y</t>
  </si>
  <si>
    <t>LP001487,Male,No,0,Graduate,No,4895,0,102,360,1,Semiurban,Y</t>
  </si>
  <si>
    <t>LP001488,Male,Yes,3+,Graduate,No,4000,7750,290,360,1,Semiurban,N</t>
  </si>
  <si>
    <t>LP001489,Female,Yes,0,Graduate,No,4583,0,84,360,1,Rural,N</t>
  </si>
  <si>
    <t>LP001491,Male,Yes,2,Graduate,Yes,3316,3500,88,360,1,Urban,Y</t>
  </si>
  <si>
    <t>LP001492,Male,No,0,Graduate,No,14999,0,242,360,0,Semiurban,N</t>
  </si>
  <si>
    <t>LP001493,Male,Yes,2,Not Graduate,No,4200,1430,129,360,1,Rural,N</t>
  </si>
  <si>
    <t>LP001497,Male,Yes,2,Graduate,No,5042,2083,185,360,1,Rural,N</t>
  </si>
  <si>
    <t>LP001498,Male,No,0,Graduate,No,5417,0,168,360,1,Urban,Y</t>
  </si>
  <si>
    <t>LP001504,Male,No,0,Graduate,Yes,6950,0,175,180,1,Semiurban,Y</t>
  </si>
  <si>
    <t>LP001507,Male,Yes,0,Graduate,No,2698,2034,122,360,1,Semiurban,Y</t>
  </si>
  <si>
    <t>LP001508,Male,Yes,2,Graduate,No,11757,0,187,180,1,Urban,Y</t>
  </si>
  <si>
    <t>LP001514,Female,Yes,0,Graduate,No,2330,4486,100,360,1,Semiurban,Y</t>
  </si>
  <si>
    <t>LP001516,Female,Yes,2,Graduate,No,14866,0,70,360,1,Urban,Y</t>
  </si>
  <si>
    <t>LP001518,Male,Yes,1,Graduate,No,1538,1425,30,360,1,Urban,Y</t>
  </si>
  <si>
    <t>LP001519,Female,No,0,Graduate,No,10000,1666,225,360,1,Rural,N</t>
  </si>
  <si>
    <t>LP001520,Male,Yes,0,Graduate,No,4860,830,125,360,1,Semiurban,Y</t>
  </si>
  <si>
    <t>LP001528,Male,No,0,Graduate,No,6277,0,118,360,0,Rural,N</t>
  </si>
  <si>
    <t>LP001529,Male,Yes,0,Graduate,Yes,2577,3750,152,360,1,Rural,Y</t>
  </si>
  <si>
    <t>LP001531,Male,No,0,Graduate,No,9166,0,244,360,1,Urban,N</t>
  </si>
  <si>
    <t>LP001532,Male,Yes,2,Not Graduate,No,2281,0,113,360,1,Rural,N</t>
  </si>
  <si>
    <t>LP001535,Male,No,0,Graduate,No,3254,0,50,360,1,Urban,Y</t>
  </si>
  <si>
    <t>LP001536,Male,Yes,3+,Graduate,No,39999,0,600,180,0,Semiurban,Y</t>
  </si>
  <si>
    <t>LP001541,Male,Yes,1,Graduate,No,6000,0,160,360,,Rural,Y</t>
  </si>
  <si>
    <t>LP001543,Male,Yes,1,Graduate,No,9538,0,187,360,1,Urban,Y</t>
  </si>
  <si>
    <t>LP001546,Male,No,0,Graduate,,2980,2083,120,360,1,Rural,Y</t>
  </si>
  <si>
    <t>LP001552,Male,Yes,0,Graduate,No,4583,5625,255,360,1,Semiurban,Y</t>
  </si>
  <si>
    <t>LP001560,Male,Yes,0,Not Graduate,No,1863,1041,98,360,1,Semiurban,Y</t>
  </si>
  <si>
    <t>LP001562,Male,Yes,0,Graduate,No,7933,0,275,360,1,Urban,N</t>
  </si>
  <si>
    <t>LP001565,Male,Yes,1,Graduate,No,3089,1280,121,360,0,Semiurban,N</t>
  </si>
  <si>
    <t>LP001570,Male,Yes,2,Graduate,No,4167,1447,158,360,1,Rural,Y</t>
  </si>
  <si>
    <t>LP001572,Male,Yes,0,Graduate,No,9323,0,75,180,1,Urban,Y</t>
  </si>
  <si>
    <t>LP001574,Male,Yes,0,Graduate,No,3707,3166,182,,1,Rural,Y</t>
  </si>
  <si>
    <t>LP001577,Female,Yes,0,Graduate,No,4583,0,112,360,1,Rural,N</t>
  </si>
  <si>
    <t>LP001578,Male,Yes,0,Graduate,No,2439,3333,129,360,1,Rural,Y</t>
  </si>
  <si>
    <t>LP001579,Male,No,0,Graduate,No,2237,0,63,480,0,Semiurban,N</t>
  </si>
  <si>
    <t>LP001580,Male,Yes,2,Graduate,No,8000,0,200,360,1,Semiurban,Y</t>
  </si>
  <si>
    <t>LP001581,Male,Yes,0,Not Graduate,,1820,1769,95,360,1,Rural,Y</t>
  </si>
  <si>
    <t>LP001585,,Yes,3+,Graduate,No,51763,0,700,300,1,Urban,Y</t>
  </si>
  <si>
    <t>LP001586,Male,Yes,3+,Not Graduate,No,3522,0,81,180,1,Rural,N</t>
  </si>
  <si>
    <t>LP001594,Male,Yes,0,Graduate,No,5708,5625,187,360,1,Semiurban,Y</t>
  </si>
  <si>
    <t>LP001603,Male,Yes,0,Not Graduate,Yes,4344,736,87,360,1,Semiurban,N</t>
  </si>
  <si>
    <t>LP001606,Male,Yes,0,Graduate,No,3497,1964,116,360,1,Rural,Y</t>
  </si>
  <si>
    <t>LP001608,Male,Yes,2,Graduate,No,2045,1619,101,360,1,Rural,Y</t>
  </si>
  <si>
    <t>LP001610,Male,Yes,3+,Graduate,No,5516,11300,495,360,0,Semiurban,N</t>
  </si>
  <si>
    <t>LP001616,Male,Yes,1,Graduate,No,3750,0,116,360,1,Semiurban,Y</t>
  </si>
  <si>
    <t>LP001630,Male,No,0,Not Graduate,No,2333,1451,102,480,0,Urban,N</t>
  </si>
  <si>
    <t>LP001633,Male,Yes,1,Graduate,No,6400,7250,180,360,0,Urban,N</t>
  </si>
  <si>
    <t>LP001634,Male,No,0,Graduate,No,1916,5063,67,360,,Rural,N</t>
  </si>
  <si>
    <t>LP001636,Male,Yes,0,Graduate,No,4600,0,73,180,1,Semiurban,Y</t>
  </si>
  <si>
    <t>LP001637,Male,Yes,1,Graduate,No,33846,0,260,360,1,Semiurban,N</t>
  </si>
  <si>
    <t>LP001639,Female,Yes,0,Graduate,No,3625,0,108,360,1,Semiurban,Y</t>
  </si>
  <si>
    <t>LP001640,Male,Yes,0,Graduate,Yes,39147,4750,120,360,1,Semiurban,Y</t>
  </si>
  <si>
    <t>LP001641,Male,Yes,1,Graduate,Yes,2178,0,66,300,0,Rural,N</t>
  </si>
  <si>
    <t>LP001643,Male,Yes,0,Graduate,No,2383,2138,58,360,,Rural,Y</t>
  </si>
  <si>
    <t>LP001644,,Yes,0,Graduate,Yes,674,5296,168,360,1,Rural,Y</t>
  </si>
  <si>
    <t>LP001647,Male,Yes,0,Graduate,No,9328,0,188,180,1,Rural,Y</t>
  </si>
  <si>
    <t>LP001653,Male,No,0,Not Graduate,No,4885,0,48,360,1,Rural,Y</t>
  </si>
  <si>
    <t>LP001656,Male,No,0,Graduate,No,12000,0,164,360,1,Semiurban,N</t>
  </si>
  <si>
    <t>LP001657,Male,Yes,0,Not Graduate,No,6033,0,160,360,1,Urban,N</t>
  </si>
  <si>
    <t>LP001658,Male,No,0,Graduate,No,3858,0,76,360,1,Semiurban,Y</t>
  </si>
  <si>
    <t>LP001664,Male,No,0,Graduate,No,4191,0,120,360,1,Rural,Y</t>
  </si>
  <si>
    <t>LP001665,Male,Yes,1,Graduate,No,3125,2583,170,360,1,Semiurban,N</t>
  </si>
  <si>
    <t>LP001666,Male,No,0,Graduate,No,8333,3750,187,360,1,Rural,Y</t>
  </si>
  <si>
    <t>LP001669,Female,No,0,Not Graduate,No,1907,2365,120,,1,Urban,Y</t>
  </si>
  <si>
    <t>LP001671,Female,Yes,0,Graduate,No,3416,2816,113,360,,Semiurban,Y</t>
  </si>
  <si>
    <t>LP001673,Male,No,0,Graduate,Yes,11000,0,83,360,1,Urban,N</t>
  </si>
  <si>
    <t>LP001674,Male,Yes,1,Not Graduate,No,2600,2500,90,360,1,Semiurban,Y</t>
  </si>
  <si>
    <t>LP001677,Male,No,2,Graduate,No,4923,0,166,360,0,Semiurban,Y</t>
  </si>
  <si>
    <t>LP001682,Male,Yes,3+,Not Graduate,No,3992,0,,180,1,Urban,N</t>
  </si>
  <si>
    <t>LP001688,Male,Yes,1,Not Graduate,No,3500,1083,135,360,1,Urban,Y</t>
  </si>
  <si>
    <t>LP001691,Male,Yes,2,Not Graduate,No,3917,0,124,360,1,Semiurban,Y</t>
  </si>
  <si>
    <t>LP001692,Female,No,0,Not Graduate,No,4408,0,120,360,1,Semiurban,Y</t>
  </si>
  <si>
    <t>LP001693,Female,No,0,Graduate,No,3244,0,80,360,1,Urban,Y</t>
  </si>
  <si>
    <t>LP001698,Male,No,0,Not Graduate,No,3975,2531,55,360,1,Rural,Y</t>
  </si>
  <si>
    <t>LP001699,Male,No,0,Graduate,No,2479,0,59,360,1,Urban,Y</t>
  </si>
  <si>
    <t>LP001702,Male,No,0,Graduate,No,3418,0,127,360,1,Semiurban,N</t>
  </si>
  <si>
    <t>LP001708,Female,No,0,Graduate,No,10000,0,214,360,1,Semiurban,N</t>
  </si>
  <si>
    <t>LP001711,Male,Yes,3+,Graduate,No,3430,1250,128,360,0,Semiurban,N</t>
  </si>
  <si>
    <t>LP001713,Male,Yes,1,Graduate,Yes,7787,0,240,360,1,Urban,Y</t>
  </si>
  <si>
    <t>LP001715,Male,Yes,3+,Not Graduate,Yes,5703,0,130,360,1,Rural,Y</t>
  </si>
  <si>
    <t>LP001716,Male,Yes,0,Graduate,No,3173,3021,137,360,1,Urban,Y</t>
  </si>
  <si>
    <t>LP001720,Male,Yes,3+,Not Graduate,No,3850,983,100,360,1,Semiurban,Y</t>
  </si>
  <si>
    <t>LP001722,Male,Yes,0,Graduate,No,150,1800,135,360,1,Rural,N</t>
  </si>
  <si>
    <t>LP001726,Male,Yes,0,Graduate,No,3727,1775,131,360,1,Semiurban,Y</t>
  </si>
  <si>
    <t>LP001732,Male,Yes,2,Graduate,,5000,0,72,360,0,Semiurban,N</t>
  </si>
  <si>
    <t>LP001734,Female,Yes,2,Graduate,No,4283,2383,127,360,,Semiurban,Y</t>
  </si>
  <si>
    <t>LP001736,Male,Yes,0,Graduate,No,2221,0,60,360,0,Urban,N</t>
  </si>
  <si>
    <t>LP001743,Male,Yes,2,Graduate,No,4009,1717,116,360,1,Semiurban,Y</t>
  </si>
  <si>
    <t>LP001744,Male,No,0,Graduate,No,2971,2791,144,360,1,Semiurban,Y</t>
  </si>
  <si>
    <t>LP001749,Male,Yes,0,Graduate,No,7578,1010,175,,1,Semiurban,Y</t>
  </si>
  <si>
    <t>LP001750,Male,Yes,0,Graduate,No,6250,0,128,360,1,Semiurban,Y</t>
  </si>
  <si>
    <t>LP001751,Male,Yes,0,Graduate,No,3250,0,170,360,1,Rural,N</t>
  </si>
  <si>
    <t>LP001754,Male,Yes,,Not Graduate,Yes,4735,0,138,360,1,Urban,N</t>
  </si>
  <si>
    <t>LP001758,Male,Yes,2,Graduate,No,6250,1695,210,360,1,Semiurban,Y</t>
  </si>
  <si>
    <t>LP001760,Male,,,Graduate,No,4758,0,158,480,1,Semiurban,Y</t>
  </si>
  <si>
    <t>LP001761,Male,No,0,Graduate,Yes,6400,0,200,360,1,Rural,Y</t>
  </si>
  <si>
    <t>LP001765,Male,Yes,1,Graduate,No,2491,2054,104,360,1,Semiurban,Y</t>
  </si>
  <si>
    <t>LP001768,Male,Yes,0,Graduate,,3716,0,42,180,1,Rural,Y</t>
  </si>
  <si>
    <t>LP001770,Male,No,0,Not Graduate,No,3189,2598,120,,1,Rural,Y</t>
  </si>
  <si>
    <t>LP001776,Female,No,0,Graduate,No,8333,0,280,360,1,Semiurban,Y</t>
  </si>
  <si>
    <t>LP001778,Male,Yes,1,Graduate,No,3155,1779,140,360,1,Semiurban,Y</t>
  </si>
  <si>
    <t>LP001784,Male,Yes,1,Graduate,No,5500,1260,170,360,1,Rural,Y</t>
  </si>
  <si>
    <t>LP001786,Male,Yes,0,Graduate,,5746,0,255,360,,Urban,N</t>
  </si>
  <si>
    <t>LP001788,Female,No,0,Graduate,Yes,3463,0,122,360,,Urban,Y</t>
  </si>
  <si>
    <t>LP001790,Female,No,1,Graduate,No,3812,0,112,360,1,Rural,Y</t>
  </si>
  <si>
    <t>LP001792,Male,Yes,1,Graduate,No,3315,0,96,360,1,Semiurban,Y</t>
  </si>
  <si>
    <t>LP001798,Male,Yes,2,Graduate,No,5819,5000,120,360,1,Rural,Y</t>
  </si>
  <si>
    <t>LP001800,Male,Yes,1,Not Graduate,No,2510,1983,140,180,1,Urban,N</t>
  </si>
  <si>
    <t>LP001806,Male,No,0,Graduate,No,2965,5701,155,60,1,Urban,Y</t>
  </si>
  <si>
    <t>LP001807,Male,Yes,2,Graduate,Yes,6250,1300,108,360,1,Rural,Y</t>
  </si>
  <si>
    <t>LP001811,Male,Yes,0,Not Graduate,No,3406,4417,123,360,1,Semiurban,Y</t>
  </si>
  <si>
    <t>LP001813,Male,No,0,Graduate,Yes,6050,4333,120,180,1,Urban,N</t>
  </si>
  <si>
    <t>LP001814,Male,Yes,2,Graduate,No,9703,0,112,360,1,Urban,Y</t>
  </si>
  <si>
    <t>LP001819,Male,Yes,1,Not Graduate,No,6608,0,137,180,1,Urban,Y</t>
  </si>
  <si>
    <t>LP001824,Male,Yes,1,Graduate,No,2882,1843,123,480,1,Semiurban,Y</t>
  </si>
  <si>
    <t>LP001825,Male,Yes,0,Graduate,No,1809,1868,90,360,1,Urban,Y</t>
  </si>
  <si>
    <t>LP001835,Male,Yes,0,Not Graduate,No,1668,3890,201,360,0,Semiurban,N</t>
  </si>
  <si>
    <t>LP001836,Female,No,2,Graduate,No,3427,0,138,360,1,Urban,N</t>
  </si>
  <si>
    <t>LP001841,Male,No,0,Not Graduate,Yes,2583,2167,104,360,1,Rural,Y</t>
  </si>
  <si>
    <t>LP001843,Male,Yes,1,Not Graduate,No,2661,7101,279,180,1,Semiurban,Y</t>
  </si>
  <si>
    <t>LP001844,Male,No,0,Graduate,Yes,16250,0,192,360,0,Urban,N</t>
  </si>
  <si>
    <t>LP001846,Female,No,3+,Graduate,No,3083,0,255,360,1,Rural,Y</t>
  </si>
  <si>
    <t>LP001849,Male,No,0,Not Graduate,No,6045,0,115,360,0,Rural,N</t>
  </si>
  <si>
    <t>LP001854,Male,Yes,3+,Graduate,No,5250,0,94,360,1,Urban,N</t>
  </si>
  <si>
    <t>LP001859,Male,Yes,0,Graduate,No,14683,2100,304,360,1,Rural,N</t>
  </si>
  <si>
    <t>LP001864,Male,Yes,3+,Not Graduate,No,4931,0,128,360,,Semiurban,N</t>
  </si>
  <si>
    <t>LP001865,Male,Yes,1,Graduate,No,6083,4250,330,360,,Urban,Y</t>
  </si>
  <si>
    <t>LP001868,Male,No,0,Graduate,No,2060,2209,134,360,1,Semiurban,Y</t>
  </si>
  <si>
    <t>LP001870,Female,No,1,Graduate,No,3481,0,155,36,1,Semiurban,N</t>
  </si>
  <si>
    <t>LP001871,Female,No,0,Graduate,No,7200,0,120,360,1,Rural,Y</t>
  </si>
  <si>
    <t>LP001872,Male,No,0,Graduate,Yes,5166,0,128,360,1,Semiurban,Y</t>
  </si>
  <si>
    <t>LP001875,Male,No,0,Graduate,No,4095,3447,151,360,1,Rural,Y</t>
  </si>
  <si>
    <t>LP001877,Male,Yes,2,Graduate,No,4708,1387,150,360,1,Semiurban,Y</t>
  </si>
  <si>
    <t>LP001882,Male,Yes,3+,Graduate,No,4333,1811,160,360,0,Urban,Y</t>
  </si>
  <si>
    <t>LP001883,Female,No,0,Graduate,,3418,0,135,360,1,Rural,N</t>
  </si>
  <si>
    <t>LP001884,Female,No,1,Graduate,No,2876,1560,90,360,1,Urban,Y</t>
  </si>
  <si>
    <t>LP001888,Female,No,0,Graduate,No,3237,0,30,360,1,Urban,Y</t>
  </si>
  <si>
    <t>LP001891,Male,Yes,0,Graduate,No,11146,0,136,360,1,Urban,Y</t>
  </si>
  <si>
    <t>LP001892,Male,No,0,Graduate,No,2833,1857,126,360,1,Rural,Y</t>
  </si>
  <si>
    <t>LP001894,Male,Yes,0,Graduate,No,2620,2223,150,360,1,Semiurban,Y</t>
  </si>
  <si>
    <t>LP001896,Male,Yes,2,Graduate,No,3900,0,90,360,1,Semiurban,Y</t>
  </si>
  <si>
    <t>LP001900,Male,Yes,1,Graduate,No,2750,1842,115,360,1,Semiurban,Y</t>
  </si>
  <si>
    <t>LP001903,Male,Yes,0,Graduate,No,3993,3274,207,360,1,Semiurban,Y</t>
  </si>
  <si>
    <t>LP001904,Male,Yes,0,Graduate,No,3103,1300,80,360,1,Urban,Y</t>
  </si>
  <si>
    <t>LP001907,Male,Yes,0,Graduate,No,14583,0,436,360,1,Semiurban,Y</t>
  </si>
  <si>
    <t>LP001908,Female,Yes,0,Not Graduate,No,4100,0,124,360,,Rural,Y</t>
  </si>
  <si>
    <t>LP001910,Male,No,1,Not Graduate,Yes,4053,2426,158,360,0,Urban,N</t>
  </si>
  <si>
    <t>LP001914,Male,Yes,0,Graduate,No,3927,800,112,360,1,Semiurban,Y</t>
  </si>
  <si>
    <t>LP001915,Male,Yes,2,Graduate,No,2301,985.7999878,78,180,1,Urban,Y</t>
  </si>
  <si>
    <t>LP001917,Female,No,0,Graduate,No,1811,1666,54,360,1,Urban,Y</t>
  </si>
  <si>
    <t>LP001922,Male,Yes,0,Graduate,No,20667,0,,360,1,Rural,N</t>
  </si>
  <si>
    <t>LP001924,Male,No,0,Graduate,No,3158,3053,89,360,1,Rural,Y</t>
  </si>
  <si>
    <t>LP001925,Female,No,0,Graduate,Yes,2600,1717,99,300,1,Semiurban,N</t>
  </si>
  <si>
    <t>LP001926,Male,Yes,0,Graduate,No,3704,2000,120,360,1,Rural,Y</t>
  </si>
  <si>
    <t>LP001931,Female,No,0,Graduate,No,4124,0,115,360,1,Semiurban,Y</t>
  </si>
  <si>
    <t>LP001935,Male,No,0,Graduate,No,9508,0,187,360,1,Rural,Y</t>
  </si>
  <si>
    <t>LP001936,Male,Yes,0,Graduate,No,3075,2416,139,360,1,Rural,Y</t>
  </si>
  <si>
    <t>LP001938,Male,Yes,2,Graduate,No,4400,0,127,360,0,Semiurban,N</t>
  </si>
  <si>
    <t>LP001940,Male,Yes,2,Graduate,No,3153,1560,134,360,1,Urban,Y</t>
  </si>
  <si>
    <t>LP001945,Female,No,,Graduate,No,5417,0,143,480,0,Urban,N</t>
  </si>
  <si>
    <t>LP001947,Male,Yes,0,Graduate,No,2383,3334,172,360,1,Semiurban,Y</t>
  </si>
  <si>
    <t>LP001949,Male,Yes,3+,Graduate,,4416,1250,110,360,1,Urban,Y</t>
  </si>
  <si>
    <t>LP001953,Male,Yes,1,Graduate,No,6875,0,200,360,1,Semiurban,Y</t>
  </si>
  <si>
    <t>LP001954,Female,Yes,1,Graduate,No,4666,0,135,360,1,Urban,Y</t>
  </si>
  <si>
    <t>LP001955,Female,No,0,Graduate,No,5000,2541,151,480,1,Rural,N</t>
  </si>
  <si>
    <t>LP001963,Male,Yes,1,Graduate,No,2014,2925,113,360,1,Urban,N</t>
  </si>
  <si>
    <t>LP001964,Male,Yes,0,Not Graduate,No,1800,2934,93,360,0,Urban,N</t>
  </si>
  <si>
    <t>LP001972,Male,Yes,,Not Graduate,No,2875,1750,105,360,1,Semiurban,Y</t>
  </si>
  <si>
    <t>LP001974,Female,No,0,Graduate,No,5000,0,132,360,1,Rural,Y</t>
  </si>
  <si>
    <t>LP001977,Male,Yes,1,Graduate,No,1625,1803,96,360,1,Urban,Y</t>
  </si>
  <si>
    <t>LP001978,Male,No,0,Graduate,No,4000,2500,140,360,1,Rural,Y</t>
  </si>
  <si>
    <t>LP001990,Male,No,0,Not Graduate,No,2000,0,,360,1,Urban,N</t>
  </si>
  <si>
    <t>LP001993,Female,No,0,Graduate,No,3762,1666,135,360,1,Rural,Y</t>
  </si>
  <si>
    <t>LP001994,Female,No,0,Graduate,No,2400,1863,104,360,0,Urban,N</t>
  </si>
  <si>
    <t>LP001996,Male,No,0,Graduate,No,20233,0,480,360,1,Rural,N</t>
  </si>
  <si>
    <t>LP001998,Male,Yes,2,Not Graduate,No,7667,0,185,360,,Rural,Y</t>
  </si>
  <si>
    <t>LP002002,Female,No,0,Graduate,No,2917,0,84,360,1,Semiurban,Y</t>
  </si>
  <si>
    <t>LP002004,Male,No,0,Not Graduate,No,2927,2405,111,360,1,Semiurban,Y</t>
  </si>
  <si>
    <t>LP002006,Female,No,0,Graduate,No,2507,0,56,360,1,Rural,Y</t>
  </si>
  <si>
    <t>LP002008,Male,Yes,2,Graduate,Yes,5746,0,144,84,,Rural,Y</t>
  </si>
  <si>
    <t>LP002024,,Yes,0,Graduate,No,2473,1843,159,360,1,Rural,N</t>
  </si>
  <si>
    <t>LP002031,Male,Yes,1,Not Graduate,No,3399,1640,111,180,1,Urban,Y</t>
  </si>
  <si>
    <t>LP002035,Male,Yes,2,Graduate,No,3717,0,120,360,1,Semiurban,Y</t>
  </si>
  <si>
    <t>LP002036,Male,Yes,0,Graduate,No,2058,2134,88,360,,Urban,Y</t>
  </si>
  <si>
    <t>LP002043,Female,No,1,Graduate,No,3541,0,112,360,,Semiurban,Y</t>
  </si>
  <si>
    <t>LP002050,Male,Yes,1,Graduate,Yes,10000,0,155,360,1,Rural,N</t>
  </si>
  <si>
    <t>LP002051,Male,Yes,0,Graduate,No,2400,2167,115,360,1,Semiurban,Y</t>
  </si>
  <si>
    <t>LP002053,Male,Yes,3+,Graduate,No,4342,189,124,360,1,Semiurban,Y</t>
  </si>
  <si>
    <t>LP002054,Male,Yes,2,Not Graduate,No,3601,1590,,360,1,Rural,Y</t>
  </si>
  <si>
    <t>LP002055,Female,No,0,Graduate,No,3166,2985,132,360,,Rural,Y</t>
  </si>
  <si>
    <t>LP002065,Male,Yes,3+,Graduate,No,15000,0,300,360,1,Rural,Y</t>
  </si>
  <si>
    <t>LP002067,Male,Yes,1,Graduate,Yes,8666,4983,376,360,0,Rural,N</t>
  </si>
  <si>
    <t>LP002068,Male,No,0,Graduate,No,4917,0,130,360,0,Rural,Y</t>
  </si>
  <si>
    <t>LP002082,Male,Yes,0,Graduate,Yes,5818,2160,184,360,1,Semiurban,Y</t>
  </si>
  <si>
    <t>LP002086,Female,Yes,0,Graduate,No,4333,2451,110,360,1,Urban,N</t>
  </si>
  <si>
    <t>LP002087,Female,No,0,Graduate,No,2500,0,67,360,1,Urban,Y</t>
  </si>
  <si>
    <t>LP002097,Male,No,1,Graduate,No,4384,1793,117,360,1,Urban,Y</t>
  </si>
  <si>
    <t>LP002098,Male,No,0,Graduate,No,2935,0,98,360,1,Semiurban,Y</t>
  </si>
  <si>
    <t>LP002100,Male,No,,Graduate,No,2833,0,71,360,1,Urban,Y</t>
  </si>
  <si>
    <t>LP002101,Male,Yes,0,Graduate,,63337,0,490,180,1,Urban,Y</t>
  </si>
  <si>
    <t>LP002103,,Yes,1,Graduate,Yes,9833,1833,182,180,1,Urban,Y</t>
  </si>
  <si>
    <t>LP002106,Male,Yes,,Graduate,Yes,5503,4490,70,,1,Semiurban,Y</t>
  </si>
  <si>
    <t>LP002110,Male,Yes,1,Graduate,,5250,688,160,360,1,Rural,Y</t>
  </si>
  <si>
    <t>LP002112,Male,Yes,2,Graduate,Yes,2500,4600,176,360,1,Rural,Y</t>
  </si>
  <si>
    <t>LP002113,Female,No,3+,Not Graduate,No,1830,0,,360,0,Urban,N</t>
  </si>
  <si>
    <t>LP002114,Female,No,0,Graduate,No,4160,0,71,360,1,Semiurban,Y</t>
  </si>
  <si>
    <t>LP002115,Male,Yes,3+,Not Graduate,No,2647,1587,173,360,1,Rural,N</t>
  </si>
  <si>
    <t>LP002116,Female,No,0,Graduate,No,2378,0,46,360,1,Rural,N</t>
  </si>
  <si>
    <t>LP002119,Male,Yes,1,Not Graduate,No,4554,1229,158,360,1,Urban,Y</t>
  </si>
  <si>
    <t>LP002126,Male,Yes,3+,Not Graduate,No,3173,0,74,360,1,Semiurban,Y</t>
  </si>
  <si>
    <t>LP002128,Male,Yes,2,Graduate,,2583,2330,125,360,1,Rural,Y</t>
  </si>
  <si>
    <t>LP002129,Male,Yes,0,Graduate,No,2499,2458,160,360,1,Semiurban,Y</t>
  </si>
  <si>
    <t>LP002130,Male,Yes,,Not Graduate,No,3523,3230,152,360,0,Rural,N</t>
  </si>
  <si>
    <t>LP002131,Male,Yes,2,Not Graduate,No,3083,2168,126,360,1,Urban,Y</t>
  </si>
  <si>
    <t>LP002137,Male,Yes,0,Graduate,No,6333,4583,259,360,,Semiurban,Y</t>
  </si>
  <si>
    <t>LP002138,Male,Yes,0,Graduate,No,2625,6250,187,360,1,Rural,Y</t>
  </si>
  <si>
    <t>LP002139,Male,Yes,0,Graduate,No,9083,0,228,360,1,Semiurban,Y</t>
  </si>
  <si>
    <t>LP002140,Male,No,0,Graduate,No,8750,4167,308,360,1,Rural,N</t>
  </si>
  <si>
    <t>LP002141,Male,Yes,3+,Graduate,No,2666,2083,95,360,1,Rural,Y</t>
  </si>
  <si>
    <t>LP002142,Female,Yes,0,Graduate,Yes,5500,0,105,360,0,Rural,N</t>
  </si>
  <si>
    <t>LP002143,Female,Yes,0,Graduate,No,2423,505,130,360,1,Semiurban,Y</t>
  </si>
  <si>
    <t>LP002144,Female,No,,Graduate,No,3813,0,116,180,1,Urban,Y</t>
  </si>
  <si>
    <t>LP002149,Male,Yes,2,Graduate,No,8333,3167,165,360,1,Rural,Y</t>
  </si>
  <si>
    <t>LP002151,Male,Yes,1,Graduate,No,3875,0,67,360,1,Urban,N</t>
  </si>
  <si>
    <t>LP002158,Male,Yes,0,Not Graduate,No,3000,1666,100,480,0,Urban,N</t>
  </si>
  <si>
    <t>LP002160,Male,Yes,3+,Graduate,No,5167,3167,200,360,1,Semiurban,Y</t>
  </si>
  <si>
    <t>LP002161,Female,No,1,Graduate,No,4723,0,81,360,1,Semiurban,N</t>
  </si>
  <si>
    <t>LP002170,Male,Yes,2,Graduate,No,5000,3667,236,360,1,Semiurban,Y</t>
  </si>
  <si>
    <t>LP002175,Male,Yes,0,Graduate,No,4750,2333,130,360,1,Urban,Y</t>
  </si>
  <si>
    <t>LP002178,Male,Yes,0,Graduate,No,3013,3033,95,300,,Urban,Y</t>
  </si>
  <si>
    <t>LP002180,Male,No,0,Graduate,Yes,6822,0,141,360,1,Rural,Y</t>
  </si>
  <si>
    <t>LP002181,Male,No,0,Not Graduate,No,6216,0,133,360,1,Rural,N</t>
  </si>
  <si>
    <t>LP002187,Male,No,0,Graduate,No,2500,0,96,480,1,Semiurban,N</t>
  </si>
  <si>
    <t>LP002188,Male,No,0,Graduate,No,5124,0,124,,0,Rural,N</t>
  </si>
  <si>
    <t>LP002190,Male,Yes,1,Graduate,No,6325,0,175,360,1,Semiurban,Y</t>
  </si>
  <si>
    <t>LP002191,Male,Yes,0,Graduate,No,19730,5266,570,360,1,Rural,N</t>
  </si>
  <si>
    <t>LP002194,Female,No,0,Graduate,Yes,15759,0,55,360,1,Semiurban,Y</t>
  </si>
  <si>
    <t>LP002197,Male,Yes,2,Graduate,No,5185,0,155,360,1,Semiurban,Y</t>
  </si>
  <si>
    <t>LP002201,Male,Yes,2,Graduate,Yes,9323,7873,380,300,1,Rural,Y</t>
  </si>
  <si>
    <t>LP002205,Male,No,1,Graduate,No,3062,1987,111,180,0,Urban,N</t>
  </si>
  <si>
    <t>LP002209,Female,No,0,Graduate,,2764,1459,110,360,1,Urban,Y</t>
  </si>
  <si>
    <t>LP002211,Male,Yes,0,Graduate,No,4817,923,120,180,1,Urban,Y</t>
  </si>
  <si>
    <t>LP002219,Male,Yes,3+,Graduate,No,8750,4996,130,360,1,Rural,Y</t>
  </si>
  <si>
    <t>LP002223,Male,Yes,0,Graduate,No,4310,0,130,360,,Semiurban,Y</t>
  </si>
  <si>
    <t>LP002224,Male,No,0,Graduate,No,3069,0,71,480,1,Urban,N</t>
  </si>
  <si>
    <t>LP002225,Male,Yes,2,Graduate,No,5391,0,130,360,1,Urban,Y</t>
  </si>
  <si>
    <t>LP002226,Male,Yes,0,Graduate,,3333,2500,128,360,1,Semiurban,Y</t>
  </si>
  <si>
    <t>LP002229,Male,No,0,Graduate,No,5941,4232,296,360,1,Semiurban,Y</t>
  </si>
  <si>
    <t>LP002231,Female,No,0,Graduate,No,6000,0,156,360,1,Urban,Y</t>
  </si>
  <si>
    <t>LP002234,Male,No,0,Graduate,Yes,7167,0,128,360,1,Urban,Y</t>
  </si>
  <si>
    <t>LP002236,Male,Yes,2,Graduate,No,4566,0,100,360,1,Urban,N</t>
  </si>
  <si>
    <t>LP002237,Male,No,1,Graduate,,3667,0,113,180,1,Urban,Y</t>
  </si>
  <si>
    <t>LP002239,Male,No,0,Not Graduate,No,2346,1600,132,360,1,Semiurban,Y</t>
  </si>
  <si>
    <t>LP002243,Male,Yes,0,Not Graduate,No,3010,3136,,360,0,Urban,N</t>
  </si>
  <si>
    <t>LP002244,Male,Yes,0,Graduate,No,2333,2417,136,360,1,Urban,Y</t>
  </si>
  <si>
    <t>LP002250,Male,Yes,0,Graduate,No,5488,0,125,360,1,Rural,Y</t>
  </si>
  <si>
    <t>LP002255,Male,No,3+,Graduate,No,9167,0,185,360,1,Rural,Y</t>
  </si>
  <si>
    <t>LP002262,Male,Yes,3+,Graduate,No,9504,0,275,360,1,Rural,Y</t>
  </si>
  <si>
    <t>LP002263,Male,Yes,0,Graduate,No,2583,2115,120,360,,Urban,Y</t>
  </si>
  <si>
    <t>LP002265,Male,Yes,2,Not Graduate,No,1993,1625,113,180,1,Semiurban,Y</t>
  </si>
  <si>
    <t>LP002266,Male,Yes,2,Graduate,No,3100,1400,113,360,1,Urban,Y</t>
  </si>
  <si>
    <t>LP002272,Male,Yes,2,Graduate,No,3276,484,135,360,,Semiurban,Y</t>
  </si>
  <si>
    <t>LP002277,Female,No,0,Graduate,No,3180,0,71,360,0,Urban,N</t>
  </si>
  <si>
    <t>LP002281,Male,Yes,0,Graduate,No,3033,1459,95,360,1,Urban,Y</t>
  </si>
  <si>
    <t>LP002284,Male,No,0,Not Graduate,No,3902,1666,109,360,1,Rural,Y</t>
  </si>
  <si>
    <t>LP002287,Female,No,0,Graduate,No,1500,1800,103,360,0,Semiurban,N</t>
  </si>
  <si>
    <t>LP002288,Male,Yes,2,Not Graduate,No,2889,0,45,180,0,Urban,N</t>
  </si>
  <si>
    <t>LP002296,Male,No,0,Not Graduate,No,2755,0,65,300,1,Rural,N</t>
  </si>
  <si>
    <t>LP002297,Male,No,0,Graduate,No,2500,20000,103,360,1,Semiurban,Y</t>
  </si>
  <si>
    <t>LP002300,Female,No,0,Not Graduate,No,1963,0,53,360,1,Semiurban,Y</t>
  </si>
  <si>
    <t>LP002301,Female,No,0,Graduate,Yes,7441,0,194,360,1,Rural,N</t>
  </si>
  <si>
    <t>LP002305,Female,No,0,Graduate,No,4547,0,115,360,1,Semiurban,Y</t>
  </si>
  <si>
    <t>LP002308,Male,Yes,0,Not Graduate,No,2167,2400,115,360,1,Urban,Y</t>
  </si>
  <si>
    <t>LP002314,Female,No,0,Not Graduate,No,2213,0,66,360,1,Rural,Y</t>
  </si>
  <si>
    <t>LP002315,Male,Yes,1,Graduate,No,8300,0,152,300,0,Semiurban,N</t>
  </si>
  <si>
    <t>LP002317,Male,Yes,3+,Graduate,No,81000,0,360,360,0,Rural,N</t>
  </si>
  <si>
    <t>LP002318,Female,No,1,Not Graduate,Yes,3867,0,62,360,1,Semiurban,N</t>
  </si>
  <si>
    <t>LP002319,Male,Yes,0,Graduate,,6256,0,160,360,,Urban,Y</t>
  </si>
  <si>
    <t>LP002328,Male,Yes,0,Not Graduate,No,6096,0,218,360,0,Rural,N</t>
  </si>
  <si>
    <t>LP002332,Male,Yes,0,Not Graduate,No,2253,2033,110,360,1,Rural,Y</t>
  </si>
  <si>
    <t>LP002335,Female,Yes,0,Not Graduate,No,2149,3237,178,360,0,Semiurban,N</t>
  </si>
  <si>
    <t>LP002337,Female,No,0,Graduate,No,2995,0,60,360,1,Urban,Y</t>
  </si>
  <si>
    <t>LP002341,Female,No,1,Graduate,No,2600,0,160,360,1,Urban,N</t>
  </si>
  <si>
    <t>LP002342,Male,Yes,2,Graduate,Yes,1600,20000,239,360,1,Urban,N</t>
  </si>
  <si>
    <t>LP002345,Male,Yes,0,Graduate,No,1025,2773,112,360,1,Rural,Y</t>
  </si>
  <si>
    <t>LP002347,Male,Yes,0,Graduate,No,3246,1417,138,360,1,Semiurban,Y</t>
  </si>
  <si>
    <t>LP002348,Male,Yes,0,Graduate,No,5829,0,138,360,1,Rural,Y</t>
  </si>
  <si>
    <t>LP002357,Female,No,0,Not Graduate,No,2720,0,80,,0,Urban,N</t>
  </si>
  <si>
    <t>LP002361,Male,Yes,0,Graduate,No,1820,1719,100,360,1,Urban,Y</t>
  </si>
  <si>
    <t>LP002362,Male,Yes,1,Graduate,No,7250,1667,110,,0,Urban,N</t>
  </si>
  <si>
    <t>LP002364,Male,Yes,0,Graduate,No,14880,0,96,360,1,Semiurban,Y</t>
  </si>
  <si>
    <t>LP002366,Male,Yes,0,Graduate,No,2666,4300,121,360,1,Rural,Y</t>
  </si>
  <si>
    <t>LP002367,Female,No,1,Not Graduate,No,4606,0,81,360,1,Rural,N</t>
  </si>
  <si>
    <t>LP002368,Male,Yes,2,Graduate,No,5935,0,133,360,1,Semiurban,Y</t>
  </si>
  <si>
    <t>LP002369,Male,Yes,0,Graduate,No,2920,16.12000084,87,360,1,Rural,Y</t>
  </si>
  <si>
    <t>LP002370,Male,No,0,Not Graduate,No,2717,0,60,180,1,Urban,Y</t>
  </si>
  <si>
    <t>LP002377,Female,No,1,Graduate,Yes,8624,0,150,360,1,Semiurban,Y</t>
  </si>
  <si>
    <t>LP002379,Male,No,0,Graduate,No,6500,0,105,360,0,Rural,N</t>
  </si>
  <si>
    <t>LP002386,Male,No,0,Graduate,,12876,0,405,360,1,Semiurban,Y</t>
  </si>
  <si>
    <t>LP002387,Male,Yes,0,Graduate,No,2425,2340,143,360,1,Semiurban,Y</t>
  </si>
  <si>
    <t>LP002390,Male,No,0,Graduate,No,3750,0,100,360,1,Urban,Y</t>
  </si>
  <si>
    <t>LP002393,Female,,,Graduate,No,10047,0,,240,1,Semiurban,Y</t>
  </si>
  <si>
    <t>LP002398,Male,No,0,Graduate,No,1926,1851,50,360,1,Semiurban,Y</t>
  </si>
  <si>
    <t>LP002401,Male,Yes,0,Graduate,No,2213,1125,,360,1,Urban,Y</t>
  </si>
  <si>
    <t>LP002403,Male,No,0,Graduate,Yes,10416,0,187,360,0,Urban,N</t>
  </si>
  <si>
    <t>LP002407,Female,Yes,0,Not Graduate,Yes,7142,0,138,360,1,Rural,Y</t>
  </si>
  <si>
    <t>LP002408,Male,No,0,Graduate,No,3660,5064,187,360,1,Semiurban,Y</t>
  </si>
  <si>
    <t>LP002409,Male,Yes,0,Graduate,No,7901,1833,180,360,1,Rural,Y</t>
  </si>
  <si>
    <t>LP002418,Male,No,3+,Not Graduate,No,4707,1993,148,360,1,Semiurban,Y</t>
  </si>
  <si>
    <t>LP002422,Male,No,1,Graduate,No,37719,0,152,360,1,Semiurban,Y</t>
  </si>
  <si>
    <t>LP002424,Male,Yes,0,Graduate,No,7333,8333,175,300,,Rural,Y</t>
  </si>
  <si>
    <t>LP002429,Male,Yes,1,Graduate,Yes,3466,1210,130,360,1,Rural,Y</t>
  </si>
  <si>
    <t>LP002434,Male,Yes,2,Not Graduate,No,4652,0,110,360,1,Rural,Y</t>
  </si>
  <si>
    <t>LP002435,Male,Yes,0,Graduate,,3539,1376,55,360,1,Rural,N</t>
  </si>
  <si>
    <t>LP002443,Male,Yes,2,Graduate,No,3340,1710,150,360,0,Rural,N</t>
  </si>
  <si>
    <t>LP002444,Male,No,1,Not Graduate,Yes,2769,1542,190,360,,Semiurban,N</t>
  </si>
  <si>
    <t>LP002446,Male,Yes,2,Not Graduate,No,2309,1255,125,360,0,Rural,N</t>
  </si>
  <si>
    <t>LP002447,Male,Yes,2,Not Graduate,No,1958,1456,60,300,,Urban,Y</t>
  </si>
  <si>
    <t>LP002448,Male,Yes,0,Graduate,No,3948,1733,149,360,0,Rural,N</t>
  </si>
  <si>
    <t>LP002449,Male,Yes,0,Graduate,No,2483,2466,90,180,0,Rural,Y</t>
  </si>
  <si>
    <t>LP002453,Male,No,0,Graduate,Yes,7085,0,84,360,1,Semiurban,Y</t>
  </si>
  <si>
    <t>LP002455,Male,Yes,2,Graduate,No,3859,0,96,360,1,Semiurban,Y</t>
  </si>
  <si>
    <t>LP002459,Male,Yes,0,Graduate,No,4301,0,118,360,1,Urban,Y</t>
  </si>
  <si>
    <t>LP002467,Male,Yes,0,Graduate,No,3708,2569,173,360,1,Urban,N</t>
  </si>
  <si>
    <t>LP002472,Male,No,2,Graduate,No,4354,0,136,360,1,Rural,Y</t>
  </si>
  <si>
    <t>LP002473,Male,Yes,0,Graduate,No,8334,0,160,360,1,Semiurban,N</t>
  </si>
  <si>
    <t>LP002478,,Yes,0,Graduate,Yes,2083,4083,160,360,,Semiurban,Y</t>
  </si>
  <si>
    <t>LP002484,Male,Yes,3+,Graduate,No,7740,0,128,180,1,Urban,Y</t>
  </si>
  <si>
    <t>LP002487,Male,Yes,0,Graduate,No,3015,2188,153,360,1,Rural,Y</t>
  </si>
  <si>
    <t>LP002489,Female,No,1,Not Graduate,,5191,0,132,360,1,Semiurban,Y</t>
  </si>
  <si>
    <t>LP002493,Male,No,0,Graduate,No,4166,0,98,360,0,Semiurban,N</t>
  </si>
  <si>
    <t>LP002494,Male,No,0,Graduate,No,6000,0,140,360,1,Rural,Y</t>
  </si>
  <si>
    <t>LP002500,Male,Yes,3+,Not Graduate,No,2947,1664,70,180,0,Urban,N</t>
  </si>
  <si>
    <t>LP002501,,Yes,0,Graduate,No,16692,0,110,360,1,Semiurban,Y</t>
  </si>
  <si>
    <t>LP002502,Female,Yes,2,Not Graduate,,210,2917,98,360,1,Semiurban,Y</t>
  </si>
  <si>
    <t>LP002505,Male,Yes,0,Graduate,No,4333,2451,110,360,1,Urban,N</t>
  </si>
  <si>
    <t>LP002515,Male,Yes,1,Graduate,Yes,3450,2079,162,360,1,Semiurban,Y</t>
  </si>
  <si>
    <t>LP002517,Male,Yes,1,Not Graduate,No,2653,1500,113,180,0,Rural,N</t>
  </si>
  <si>
    <t>LP002519,Male,Yes,3+,Graduate,No,4691,0,100,360,1,Semiurban,Y</t>
  </si>
  <si>
    <t>LP002522,Female,No,0,Graduate,Yes,2500,0,93,360,,Urban,Y</t>
  </si>
  <si>
    <t>LP002524,Male,No,2,Graduate,No,5532,4648,162,360,1,Rural,Y</t>
  </si>
  <si>
    <t>LP002527,Male,Yes,2,Graduate,Yes,16525,1014,150,360,1,Rural,Y</t>
  </si>
  <si>
    <t>LP002529,Male,Yes,2,Graduate,No,6700,1750,230,300,1,Semiurban,Y</t>
  </si>
  <si>
    <t>LP002530,,Yes,2,Graduate,No,2873,1872,132,360,0,Semiurban,N</t>
  </si>
  <si>
    <t>LP002531,Male,Yes,1,Graduate,Yes,16667,2250,86,360,1,Semiurban,Y</t>
  </si>
  <si>
    <t>LP002533,Male,Yes,2,Graduate,No,2947,1603,,360,1,Urban,N</t>
  </si>
  <si>
    <t>LP002534,Female,No,0,Not Graduate,No,4350,0,154,360,1,Rural,Y</t>
  </si>
  <si>
    <t>LP002536,Male,Yes,3+,Not Graduate,No,3095,0,113,360,1,Rural,Y</t>
  </si>
  <si>
    <t>LP002537,Male,Yes,0,Graduate,No,2083,3150,128,360,1,Semiurban,Y</t>
  </si>
  <si>
    <t>LP002541,Male,Yes,0,Graduate,No,10833,0,234,360,1,Semiurban,Y</t>
  </si>
  <si>
    <t>LP002543,Male,Yes,2,Graduate,No,8333,0,246,360,1,Semiurban,Y</t>
  </si>
  <si>
    <t>LP002544,Male,Yes,1,Not Graduate,No,1958,2436,131,360,1,Rural,Y</t>
  </si>
  <si>
    <t>LP002545,Male,No,2,Graduate,No,3547,0,80,360,0,Rural,N</t>
  </si>
  <si>
    <t>LP002547,Male,Yes,1,Graduate,No,18333,0,500,360,1,Urban,N</t>
  </si>
  <si>
    <t>LP002555,Male,Yes,2,Graduate,Yes,4583,2083,160,360,1,Semiurban,Y</t>
  </si>
  <si>
    <t>LP002556,Male,No,0,Graduate,No,2435,0,75,360,1,Urban,N</t>
  </si>
  <si>
    <t>LP002560,Male,No,0,Not Graduate,No,2699,2785,96,360,,Semiurban,Y</t>
  </si>
  <si>
    <t>LP002562,Male,Yes,1,Not Graduate,No,5333,1131,186,360,,Urban,Y</t>
  </si>
  <si>
    <t>LP002571,Male,No,0,Not Graduate,No,3691,0,110,360,1,Rural,Y</t>
  </si>
  <si>
    <t>LP002582,Female,No,0,Not Graduate,Yes,17263,0,225,360,1,Semiurban,Y</t>
  </si>
  <si>
    <t>LP002585,Male,Yes,0,Graduate,No,3597,2157,119,360,0,Rural,N</t>
  </si>
  <si>
    <t>LP002586,Female,Yes,1,Graduate,No,3326,913,105,84,1,Semiurban,Y</t>
  </si>
  <si>
    <t>LP002587,Male,Yes,0,Not Graduate,No,2600,1700,107,360,1,Rural,Y</t>
  </si>
  <si>
    <t>LP002588,Male,Yes,0,Graduate,No,4625,2857,111,12,,Urban,Y</t>
  </si>
  <si>
    <t>LP002600,Male,Yes,1,Graduate,Yes,2895,0,95,360,1,Semiurban,Y</t>
  </si>
  <si>
    <t>LP002602,Male,No,0,Graduate,No,6283,4416,209,360,0,Rural,N</t>
  </si>
  <si>
    <t>LP002603,Female,No,0,Graduate,No,645,3683,113,480,1,Rural,Y</t>
  </si>
  <si>
    <t>LP002606,Female,No,0,Graduate,No,3159,0,100,360,1,Semiurban,Y</t>
  </si>
  <si>
    <t>LP002615,Male,Yes,2,Graduate,No,4865,5624,208,360,1,Semiurban,Y</t>
  </si>
  <si>
    <t>LP002618,Male,Yes,1,Not Graduate,No,4050,5302,138,360,,Rural,N</t>
  </si>
  <si>
    <t>LP002619,Male,Yes,0,Not Graduate,No,3814,1483,124,300,1,Semiurban,Y</t>
  </si>
  <si>
    <t>LP002622,Male,Yes,2,Graduate,No,3510,4416,243,360,1,Rural,Y</t>
  </si>
  <si>
    <t>LP002624,Male,Yes,0,Graduate,No,20833,6667,480,360,,Urban,Y</t>
  </si>
  <si>
    <t>LP002625,,No,0,Graduate,No,3583,0,96,360,1,Urban,N</t>
  </si>
  <si>
    <t>LP002626,Male,Yes,0,Graduate,Yes,2479,3013,188,360,1,Urban,Y</t>
  </si>
  <si>
    <t>LP002634,Female,No,1,Graduate,No,13262,0,40,360,1,Urban,Y</t>
  </si>
  <si>
    <t>LP002637,Male,No,0,Not Graduate,No,3598,1287,100,360,1,Rural,N</t>
  </si>
  <si>
    <t>LP002640,Male,Yes,1,Graduate,No,6065,2004,250,360,1,Semiurban,Y</t>
  </si>
  <si>
    <t>LP002643,Male,Yes,2,Graduate,No,3283,2035,148,360,1,Urban,Y</t>
  </si>
  <si>
    <t>LP002648,Male,Yes,0,Graduate,No,2130,6666,70,180,1,Semiurban,N</t>
  </si>
  <si>
    <t>LP002652,Male,No,0,Graduate,No,5815,3666,311,360,1,Rural,N</t>
  </si>
  <si>
    <t>LP002659,Male,Yes,3+,Graduate,No,3466,3428,150,360,1,Rural,Y</t>
  </si>
  <si>
    <t>LP002670,Female,Yes,2,Graduate,No,2031,1632,113,480,1,Semiurban,Y</t>
  </si>
  <si>
    <t>LP002682,Male,Yes,,Not Graduate,No,3074,1800,123,360,0,Semiurban,N</t>
  </si>
  <si>
    <t>LP002683,Male,No,0,Graduate,No,4683,1915,185,360,1,Semiurban,N</t>
  </si>
  <si>
    <t>LP002684,Female,No,0,Not Graduate,No,3400,0,95,360,1,Rural,N</t>
  </si>
  <si>
    <t>LP002689,Male,Yes,2,Not Graduate,No,2192,1742,45,360,1,Semiurban,Y</t>
  </si>
  <si>
    <t>LP002690,Male,No,0,Graduate,No,2500,0,55,360,1,Semiurban,Y</t>
  </si>
  <si>
    <t>LP002692,Male,Yes,3+,Graduate,Yes,5677,1424,100,360,1,Rural,Y</t>
  </si>
  <si>
    <t>LP002693,Male,Yes,2,Graduate,Yes,7948,7166,480,360,1,Rural,Y</t>
  </si>
  <si>
    <t>LP002697,Male,No,0,Graduate,No,4680,2087,,360,1,Semiurban,N</t>
  </si>
  <si>
    <t>LP002699,Male,Yes,2,Graduate,Yes,17500,0,400,360,1,Rural,Y</t>
  </si>
  <si>
    <t>LP002705,Male,Yes,0,Graduate,No,3775,0,110,360,1,Semiurban,Y</t>
  </si>
  <si>
    <t>LP002706,Male,Yes,1,Not Graduate,No,5285,1430,161,360,0,Semiurban,Y</t>
  </si>
  <si>
    <t>LP002714,Male,No,1,Not Graduate,No,2679,1302,94,360,1,Semiurban,Y</t>
  </si>
  <si>
    <t>LP002716,Male,No,0,Not Graduate,No,6783,0,130,360,1,Semiurban,Y</t>
  </si>
  <si>
    <t>LP002717,Male,Yes,0,Graduate,No,1025,5500,216,360,,Rural,Y</t>
  </si>
  <si>
    <t>LP002720,Male,Yes,3+,Graduate,No,4281,0,100,360,1,Urban,Y</t>
  </si>
  <si>
    <t>LP002723,Male,No,2,Graduate,No,3588,0,110,360,0,Rural,N</t>
  </si>
  <si>
    <t>LP002729,Male,No,1,Graduate,No,11250,0,196,360,,Semiurban,N</t>
  </si>
  <si>
    <t>LP002731,Female,No,0,Not Graduate,Yes,18165,0,125,360,1,Urban,Y</t>
  </si>
  <si>
    <t>LP002732,Male,No,0,Not Graduate,,2550,2042,126,360,1,Rural,Y</t>
  </si>
  <si>
    <t>LP002734,Male,Yes,0,Graduate,No,6133,3906,324,360,1,Urban,Y</t>
  </si>
  <si>
    <t>LP002738,Male,No,2,Graduate,No,3617,0,107,360,1,Semiurban,Y</t>
  </si>
  <si>
    <t>LP002739,Male,Yes,0,Not Graduate,No,2917,536,66,360,1,Rural,N</t>
  </si>
  <si>
    <t>LP002740,Male,Yes,3+,Graduate,No,6417,0,157,180,1,Rural,Y</t>
  </si>
  <si>
    <t>LP002741,Female,Yes,1,Graduate,No,4608,2845,140,180,1,Semiurban,Y</t>
  </si>
  <si>
    <t>LP002743,Female,No,0,Graduate,No,2138,0,99,360,0,Semiurban,N</t>
  </si>
  <si>
    <t>LP002753,Female,No,1,Graduate,,3652,0,95,360,1,Semiurban,Y</t>
  </si>
  <si>
    <t>LP002755,Male,Yes,1,Not Graduate,No,2239,2524,128,360,1,Urban,Y</t>
  </si>
  <si>
    <t>LP002757,Female,Yes,0,Not Graduate,No,3017,663,102,360,,Semiurban,Y</t>
  </si>
  <si>
    <t>LP002767,Male,Yes,0,Graduate,No,2768,1950,155,360,1,Rural,Y</t>
  </si>
  <si>
    <t>LP002768,Male,No,0,Not Graduate,No,3358,0,80,36,1,Semiurban,N</t>
  </si>
  <si>
    <t>LP002772,Male,No,0,Graduate,No,2526,1783,145,360,1,Rural,Y</t>
  </si>
  <si>
    <t>LP002776,Female,No,0,Graduate,No,5000,0,103,360,0,Semiurban,N</t>
  </si>
  <si>
    <t>LP002777,Male,Yes,0,Graduate,No,2785,2016,110,360,1,Rural,Y</t>
  </si>
  <si>
    <t>LP002778,Male,Yes,2,Graduate,Yes,6633,0,,360,0,Rural,N</t>
  </si>
  <si>
    <t>LP002784,Male,Yes,1,Not Graduate,No,2492,2375,,360,1,Rural,Y</t>
  </si>
  <si>
    <t>LP002785,Male,Yes,1,Graduate,No,3333,3250,158,360,1,Urban,Y</t>
  </si>
  <si>
    <t>LP002788,Male,Yes,0,Not Graduate,No,2454,2333,181,360,0,Urban,N</t>
  </si>
  <si>
    <t>LP002789,Male,Yes,0,Graduate,No,3593,4266,132,180,0,Rural,N</t>
  </si>
  <si>
    <t>LP002792,Male,Yes,1,Graduate,No,5468,1032,26,360,1,Semiurban,Y</t>
  </si>
  <si>
    <t>LP002794,Female,No,0,Graduate,No,2667,1625,84,360,,Urban,Y</t>
  </si>
  <si>
    <t>LP002795,Male,Yes,3+,Graduate,Yes,10139,0,260,360,1,Semiurban,Y</t>
  </si>
  <si>
    <t>LP002798,Male,Yes,0,Graduate,No,3887,2669,162,360,1,Semiurban,Y</t>
  </si>
  <si>
    <t>LP002804,Female,Yes,0,Graduate,No,4180,2306,182,360,1,Semiurban,Y</t>
  </si>
  <si>
    <t>LP002807,Male,Yes,2,Not Graduate,No,3675,242,108,360,1,Semiurban,Y</t>
  </si>
  <si>
    <t>LP002813,Female,Yes,1,Graduate,Yes,19484,0,600,360,1,Semiurban,Y</t>
  </si>
  <si>
    <t>LP002820,Male,Yes,0,Graduate,No,5923,2054,211,360,1,Rural,Y</t>
  </si>
  <si>
    <t>LP002821,Male,No,0,Not Graduate,Yes,5800,0,132,360,1,Semiurban,Y</t>
  </si>
  <si>
    <t>LP002832,Male,Yes,2,Graduate,No,8799,0,258,360,0,Urban,N</t>
  </si>
  <si>
    <t>LP002833,Male,Yes,0,Not Graduate,No,4467,0,120,360,,Rural,Y</t>
  </si>
  <si>
    <t>LP002836,Male,No,0,Graduate,No,3333,0,70,360,1,Urban,Y</t>
  </si>
  <si>
    <t>LP002837,Male,Yes,3+,Graduate,No,3400,2500,123,360,0,Rural,N</t>
  </si>
  <si>
    <t>LP002840,Female,No,0,Graduate,No,2378,0,9,360,1,Urban,N</t>
  </si>
  <si>
    <t>LP002841,Male,Yes,0,Graduate,No,3166,2064,104,360,0,Urban,N</t>
  </si>
  <si>
    <t>LP002842,Male,Yes,1,Graduate,No,3417,1750,186,360,1,Urban,Y</t>
  </si>
  <si>
    <t>LP002847,Male,Yes,,Graduate,No,5116,1451,165,360,0,Urban,N</t>
  </si>
  <si>
    <t>LP002855,Male,Yes,2,Graduate,No,16666,0,275,360,1,Urban,Y</t>
  </si>
  <si>
    <t>LP002862,Male,Yes,2,Not Graduate,No,6125,1625,187,480,1,Semiurban,N</t>
  </si>
  <si>
    <t>LP002863,Male,Yes,3+,Graduate,No,6406,0,150,360,1,Semiurban,N</t>
  </si>
  <si>
    <t>LP002868,Male,Yes,2,Graduate,No,3159,461,108,84,1,Urban,Y</t>
  </si>
  <si>
    <t>LP002872,,Yes,0,Graduate,No,3087,2210,136,360,0,Semiurban,N</t>
  </si>
  <si>
    <t>LP002874,Male,No,0,Graduate,No,3229,2739,110,360,1,Urban,Y</t>
  </si>
  <si>
    <t>LP002877,Male,Yes,1,Graduate,No,1782,2232,107,360,1,Rural,Y</t>
  </si>
  <si>
    <t>LP002888,Male,No,0,Graduate,,3182,2917,161,360,1,Urban,Y</t>
  </si>
  <si>
    <t>LP002892,Male,Yes,2,Graduate,No,6540,0,205,360,1,Semiurban,Y</t>
  </si>
  <si>
    <t>LP002893,Male,No,0,Graduate,No,1836,33837,90,360,1,Urban,N</t>
  </si>
  <si>
    <t>LP002894,Female,Yes,0,Graduate,No,3166,0,36,360,1,Semiurban,Y</t>
  </si>
  <si>
    <t>LP002898,Male,Yes,1,Graduate,No,1880,0,61,360,,Rural,N</t>
  </si>
  <si>
    <t>LP002911,Male,Yes,1,Graduate,No,2787,1917,146,360,0,Rural,N</t>
  </si>
  <si>
    <t>LP002912,Male,Yes,1,Graduate,No,4283,3000,172,84,1,Rural,N</t>
  </si>
  <si>
    <t>LP002916,Male,Yes,0,Graduate,No,2297,1522,104,360,1,Urban,Y</t>
  </si>
  <si>
    <t>LP002917,Female,No,0,Not Graduate,No,2165,0,70,360,1,Semiurban,Y</t>
  </si>
  <si>
    <t>LP002925,,No,0,Graduate,No,4750,0,94,360,1,Semiurban,Y</t>
  </si>
  <si>
    <t>LP002926,Male,Yes,2,Graduate,Yes,2726,0,106,360,0,Semiurban,N</t>
  </si>
  <si>
    <t>LP002928,Male,Yes,0,Graduate,No,3000,3416,56,180,1,Semiurban,Y</t>
  </si>
  <si>
    <t>LP002931,Male,Yes,2,Graduate,Yes,6000,0,205,240,1,Semiurban,N</t>
  </si>
  <si>
    <t>LP002933,,No,3+,Graduate,Yes,9357,0,292,360,1,Semiurban,Y</t>
  </si>
  <si>
    <t>LP002936,Male,Yes,0,Graduate,No,3859,3300,142,180,1,Rural,Y</t>
  </si>
  <si>
    <t>LP002938,Male,Yes,0,Graduate,Yes,16120,0,260,360,1,Urban,Y</t>
  </si>
  <si>
    <t>LP002940,Male,No,0,Not Graduate,No,3833,0,110,360,1,Rural,Y</t>
  </si>
  <si>
    <t>LP002941,Male,Yes,2,Not Graduate,Yes,6383,1000,187,360,1,Rural,N</t>
  </si>
  <si>
    <t>LP002943,Male,No,,Graduate,No,2987,0,88,360,0,Semiurban,N</t>
  </si>
  <si>
    <t>LP002945,Male,Yes,0,Graduate,Yes,9963,0,180,360,1,Rural,Y</t>
  </si>
  <si>
    <t>LP002948,Male,Yes,2,Graduate,No,5780,0,192,360,1,Urban,Y</t>
  </si>
  <si>
    <t>LP002949,Female,No,3+,Graduate,,416,41667,350,180,,Urban,N</t>
  </si>
  <si>
    <t>LP002950,Male,Yes,0,Not Graduate,,2894,2792,155,360,1,Rural,Y</t>
  </si>
  <si>
    <t>LP002953,Male,Yes,3+,Graduate,No,5703,0,128,360,1,Urban,Y</t>
  </si>
  <si>
    <t>LP002958,Male,No,0,Graduate,No,3676,4301,172,360,1,Rural,Y</t>
  </si>
  <si>
    <t>LP002959,Female,Yes,1,Graduate,No,12000,0,496,360,1,Semiurban,Y</t>
  </si>
  <si>
    <t>LP002960,Male,Yes,0,Not Graduate,No,2400,3800,,180,1,Urban,N</t>
  </si>
  <si>
    <t>LP002961,Male,Yes,1,Graduate,No,3400,2500,173,360,1,Semiurban,Y</t>
  </si>
  <si>
    <t>LP002964,Male,Yes,2,Not Graduate,No,3987,1411,157,360,1,Rural,Y</t>
  </si>
  <si>
    <t>LP002974,Male,Yes,0,Graduate,No,3232,1950,108,360,1,Rural,Y</t>
  </si>
  <si>
    <t>LP002978,Female,No,0,Graduate,No,2900,0,71,360,1,Rural,Y</t>
  </si>
  <si>
    <t>LP002979,Male,Yes,3+,Graduate,No,4106,0,40,180,1,Rural,Y</t>
  </si>
  <si>
    <t>LP002983,Male,Yes,1,Graduate,No,8072,240,253,360,1,Urban,Y</t>
  </si>
  <si>
    <t>LP002984,Male,Yes,2,Graduate,No,7583,0,187,360,1,Urban,Y</t>
  </si>
  <si>
    <t>LP002990,Female,No,0,Graduate,Yes,4583,0,133,360,0,Semiurban,N</t>
  </si>
  <si>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</si>
  <si>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</si>
  <si>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</si>
  <si>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</si>
  <si>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</si>
  <si>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</si>
  <si>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</si>
  <si>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</si>
  <si>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</si>
  <si>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</si>
  <si>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</si>
  <si>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</si>
  <si>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</si>
  <si>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</si>
  <si>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</si>
  <si>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</si>
  <si>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</si>
  <si>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</si>
  <si>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</si>
  <si>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</si>
  <si>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</si>
  <si>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</si>
  <si>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</si>
  <si>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</si>
  <si>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</si>
  <si>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</si>
  <si>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</si>
  <si>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</si>
  <si>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</si>
  <si>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</si>
  <si>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</si>
  <si>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</si>
  <si>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</si>
  <si>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</si>
  <si>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</si>
  <si>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</si>
  <si>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</si>
  <si>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</si>
  <si>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</si>
  <si>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</si>
  <si>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</si>
  <si>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</si>
  <si>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</si>
  <si>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</si>
  <si>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</si>
  <si>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</si>
  <si>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</si>
  <si>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</si>
  <si>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</si>
  <si>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</si>
  <si>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</si>
  <si>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</si>
  <si>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</si>
  <si>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</si>
  <si>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</si>
  <si>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</si>
  <si>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</si>
  <si>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</si>
  <si>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</si>
  <si>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</si>
  <si>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</si>
  <si>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</si>
  <si>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</si>
  <si>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</si>
  <si>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</si>
  <si>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</si>
  <si>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</si>
  <si>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</si>
  <si>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</si>
  <si>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</si>
  <si>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</si>
  <si>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</si>
  <si>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</si>
  <si>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</si>
  <si>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</si>
  <si>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</si>
  <si>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</si>
  <si>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</si>
  <si>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</si>
  <si>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</si>
  <si>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</si>
  <si>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</si>
  <si>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</si>
  <si>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</si>
  <si>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</si>
  <si>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</si>
  <si>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</si>
  <si>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</si>
  <si>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</si>
  <si>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</si>
  <si>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</si>
  <si>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</si>
  <si>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</si>
  <si>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</si>
  <si>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</si>
  <si>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</si>
  <si>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</si>
  <si>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</si>
  <si>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</si>
  <si>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</si>
  <si>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</si>
  <si>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</si>
  <si>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</si>
  <si>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</si>
  <si>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</si>
  <si>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</si>
  <si>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</si>
  <si>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</si>
  <si>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</si>
  <si>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</si>
  <si>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</si>
  <si>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</si>
  <si>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</si>
  <si>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</si>
  <si>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</si>
  <si>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</si>
  <si>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</si>
  <si>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</si>
  <si>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</si>
  <si>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</si>
  <si>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</si>
  <si>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</si>
  <si>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</si>
  <si>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</si>
  <si>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</si>
  <si>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</si>
  <si>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</si>
  <si>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</si>
  <si>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</si>
  <si>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</si>
  <si>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</si>
  <si>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</si>
  <si>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</si>
  <si>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</si>
  <si>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</si>
  <si>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</si>
  <si>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</si>
  <si>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</si>
  <si>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</si>
  <si>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</si>
  <si>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</si>
  <si>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</si>
  <si>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</si>
  <si>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</si>
  <si>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</si>
  <si>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</si>
  <si>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</si>
  <si>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</si>
  <si>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</si>
  <si>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</si>
  <si>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</si>
  <si>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</si>
  <si>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</si>
  <si>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</si>
  <si>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</si>
  <si>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</si>
  <si>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</si>
  <si>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</si>
  <si>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</si>
  <si>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</si>
  <si>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</si>
  <si>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</si>
  <si>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</si>
  <si>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</si>
  <si>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</si>
  <si>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</si>
  <si>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</si>
  <si>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</si>
  <si>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</si>
  <si>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</si>
  <si>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</si>
  <si>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</si>
  <si>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</si>
  <si>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</si>
  <si>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</si>
  <si>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</si>
  <si>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</si>
  <si>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</si>
  <si>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</si>
  <si>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</si>
  <si>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</si>
  <si>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</si>
  <si>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</si>
  <si>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</si>
  <si>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</si>
  <si>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</si>
  <si>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</si>
  <si>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</si>
  <si>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</si>
  <si>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</si>
  <si>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</si>
  <si>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</si>
  <si>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</si>
  <si>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</si>
  <si>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</si>
  <si>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</si>
  <si>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</si>
  <si>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</si>
  <si>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</si>
  <si>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</si>
  <si>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</si>
  <si>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</si>
  <si>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</si>
  <si>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</si>
  <si>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</si>
  <si>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</si>
  <si>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</si>
  <si>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</si>
  <si>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</si>
  <si>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</si>
  <si>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</si>
  <si>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</si>
  <si>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</si>
  <si>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</si>
  <si>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</si>
  <si>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</si>
  <si>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</si>
  <si>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</si>
  <si>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</si>
  <si>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</si>
  <si>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</si>
  <si>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</si>
  <si>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</si>
  <si>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</si>
  <si>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</si>
  <si>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</si>
  <si>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</si>
  <si>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</si>
  <si>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</si>
  <si>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</si>
  <si>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</si>
  <si>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</si>
  <si>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</si>
  <si>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</si>
  <si>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</si>
  <si>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</si>
  <si>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</si>
  <si>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</si>
  <si>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</si>
  <si>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</si>
  <si>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</si>
  <si>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</si>
  <si>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</si>
  <si>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</si>
  <si>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</si>
  <si>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</si>
  <si>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</si>
  <si>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</si>
  <si>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</si>
  <si>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</si>
  <si>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</si>
  <si>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</si>
  <si>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</si>
  <si>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</si>
  <si>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</si>
  <si>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</si>
  <si>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</si>
  <si>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</si>
  <si>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</si>
  <si>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</si>
  <si>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</si>
  <si>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</si>
  <si>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</si>
  <si>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</si>
  <si>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</si>
  <si>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</si>
  <si>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</si>
  <si>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</si>
  <si>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</si>
  <si>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</si>
  <si>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</si>
  <si>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</si>
  <si>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</si>
  <si>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</si>
  <si>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</si>
  <si>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</si>
  <si>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</si>
  <si>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</si>
  <si>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</si>
  <si>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</si>
  <si>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</si>
  <si>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</si>
  <si>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</si>
  <si>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</si>
  <si>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</si>
  <si>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</si>
  <si>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</si>
  <si>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</si>
  <si>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</si>
  <si>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</si>
  <si>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</si>
  <si>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</si>
  <si>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</si>
  <si>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</si>
  <si>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</si>
  <si>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</si>
  <si>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</si>
  <si>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</si>
  <si>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</si>
  <si>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</si>
  <si>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</si>
  <si>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</si>
  <si>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</si>
  <si>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</si>
  <si>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</si>
  <si>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</si>
  <si>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</si>
  <si>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</si>
  <si>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</si>
  <si>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</si>
  <si>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</si>
  <si>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</si>
  <si>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</si>
  <si>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</si>
  <si>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</si>
  <si>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</si>
  <si>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</si>
  <si>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</si>
  <si>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</si>
  <si>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</si>
  <si>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</si>
  <si>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</si>
  <si>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</si>
  <si>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</si>
  <si>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</si>
  <si>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</si>
  <si>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</si>
  <si>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</si>
  <si>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</si>
  <si>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</si>
  <si>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</si>
  <si>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</si>
  <si>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</si>
  <si>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</si>
  <si>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</si>
  <si>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</si>
  <si>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</si>
  <si>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</si>
  <si>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</si>
  <si>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</si>
  <si>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</si>
  <si>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</si>
  <si>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</si>
  <si>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</si>
  <si>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</si>
  <si>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</si>
  <si>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</si>
  <si>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</si>
  <si>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</si>
  <si>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</si>
  <si>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</si>
  <si>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</si>
  <si>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</si>
  <si>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</si>
  <si>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</si>
  <si>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</si>
  <si>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</si>
  <si>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</si>
  <si>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</si>
  <si>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</si>
  <si>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</si>
  <si>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</si>
  <si>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</si>
  <si>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</si>
  <si>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</si>
  <si>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</si>
  <si>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</si>
  <si>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</si>
  <si>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</si>
  <si>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</si>
  <si>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</si>
  <si>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</si>
  <si>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</si>
  <si>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</si>
  <si>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</si>
  <si>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</si>
  <si>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</si>
  <si>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</si>
  <si>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</si>
  <si>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</si>
  <si>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</si>
  <si>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</si>
  <si>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</si>
  <si>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</si>
  <si>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</si>
  <si>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</si>
  <si>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</si>
  <si>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</si>
  <si>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</si>
  <si>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</si>
  <si>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</si>
  <si>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</si>
  <si>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</si>
  <si>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</si>
  <si>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</si>
  <si>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</si>
  <si>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</si>
  <si>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</si>
  <si>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</si>
  <si>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</si>
  <si>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</si>
  <si>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</si>
  <si>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</si>
  <si>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</si>
  <si>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</si>
  <si>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</si>
  <si>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</si>
  <si>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</si>
  <si>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</si>
  <si>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</si>
  <si>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</si>
  <si>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</si>
  <si>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</si>
  <si>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</si>
  <si>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</si>
  <si>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</si>
  <si>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</si>
  <si>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</si>
  <si>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</si>
  <si>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</si>
  <si>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</si>
  <si>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</si>
  <si>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</si>
  <si>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</si>
  <si>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</si>
  <si>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</si>
  <si>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</si>
  <si>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</si>
  <si>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</si>
  <si>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</si>
  <si>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</si>
  <si>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</si>
  <si>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</si>
  <si>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</si>
  <si>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</si>
  <si>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</si>
  <si>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</si>
  <si>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</si>
  <si>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</si>
  <si>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</si>
  <si>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</si>
  <si>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</si>
  <si>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</si>
  <si>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</si>
  <si>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</si>
  <si>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</si>
  <si>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</si>
  <si>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</si>
  <si>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</si>
  <si>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</si>
  <si>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</si>
  <si>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</si>
  <si>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</si>
  <si>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</si>
  <si>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</si>
  <si>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</si>
  <si>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</si>
  <si>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</si>
  <si>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</si>
  <si>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</si>
  <si>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</si>
  <si>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</si>
  <si>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</si>
  <si>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</si>
  <si>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</si>
  <si>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</si>
  <si>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</si>
  <si>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</si>
  <si>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</si>
  <si>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</si>
  <si>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</si>
  <si>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</si>
  <si>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</si>
  <si>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</si>
  <si>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</si>
  <si>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</si>
  <si>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</si>
  <si>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</si>
  <si>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</si>
  <si>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</si>
  <si>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</si>
  <si>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</si>
  <si>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</si>
  <si>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</si>
  <si>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</si>
  <si>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</si>
  <si>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</si>
  <si>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</si>
  <si>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</si>
  <si>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</si>
  <si>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</si>
  <si>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</si>
  <si>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</si>
  <si>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</si>
  <si>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</si>
  <si>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</si>
  <si>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</si>
  <si>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</si>
  <si>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</si>
  <si>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</si>
  <si>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</si>
  <si>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</si>
  <si>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</si>
  <si>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</si>
  <si>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</si>
  <si>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</si>
  <si>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</si>
  <si>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</si>
  <si>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</si>
  <si>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</si>
  <si>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</si>
  <si>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</si>
  <si>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</si>
  <si>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</si>
  <si>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</si>
  <si>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</si>
  <si>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</si>
  <si>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</si>
  <si>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</si>
  <si>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</si>
  <si>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</si>
  <si>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</si>
  <si>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</si>
  <si>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</si>
  <si>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</si>
  <si>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</si>
  <si>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</si>
  <si>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</si>
  <si>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</si>
  <si>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</si>
  <si>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</si>
  <si>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</si>
  <si>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</si>
  <si>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</si>
  <si>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</si>
  <si>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</si>
  <si>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</si>
  <si>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</si>
  <si>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</si>
  <si>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</si>
  <si>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</si>
  <si>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</si>
  <si>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</si>
  <si>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</si>
  <si>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</si>
  <si>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</si>
  <si>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</si>
  <si>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</si>
  <si>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</si>
  <si>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</si>
  <si>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</si>
  <si>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</si>
  <si>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</si>
  <si>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</si>
  <si>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</si>
  <si>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</si>
  <si>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</si>
  <si>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</si>
  <si>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</si>
  <si>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</si>
  <si>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</si>
  <si>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</si>
  <si>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</si>
  <si>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</si>
  <si>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</si>
  <si>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</si>
  <si>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</si>
  <si>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</si>
  <si>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</si>
  <si>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</si>
  <si>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</si>
  <si>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</si>
  <si>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</si>
  <si>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</si>
  <si>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</si>
  <si>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</si>
  <si>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</si>
  <si>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</si>
  <si>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</si>
  <si>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</si>
  <si>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</si>
  <si>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</si>
  <si>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</si>
  <si>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</si>
  <si>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</si>
  <si>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</si>
  <si>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</si>
  <si>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</si>
  <si>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</si>
  <si>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</si>
  <si>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</si>
  <si>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</si>
  <si>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</si>
  <si>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</si>
  <si>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</si>
  <si>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</si>
  <si>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</si>
  <si>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</si>
  <si>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</si>
  <si>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</si>
  <si>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</si>
  <si>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</si>
  <si>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</si>
  <si>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</si>
  <si>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</si>
  <si>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</si>
  <si>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</si>
  <si>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</si>
  <si>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</si>
  <si>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</si>
  <si>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</si>
  <si>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</si>
  <si>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</si>
  <si>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</si>
  <si>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</si>
  <si>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</si>
  <si>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</si>
  <si>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</si>
  <si>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</si>
  <si>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</si>
  <si>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</si>
  <si>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</si>
  <si>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</si>
  <si>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</si>
  <si>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</si>
  <si>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</si>
  <si>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</si>
  <si>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</si>
  <si>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</si>
  <si>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</si>
  <si>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</si>
  <si>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</si>
  <si>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</si>
  <si>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</si>
  <si>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</si>
  <si>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</si>
  <si>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</si>
  <si>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</si>
  <si>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</si>
  <si>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Totalincome</t>
  </si>
  <si>
    <t>Gender Statistics Table</t>
  </si>
  <si>
    <t>Amount</t>
  </si>
  <si>
    <t>Total</t>
  </si>
  <si>
    <t>Total income table</t>
  </si>
  <si>
    <t>Average</t>
  </si>
  <si>
    <t>Max</t>
  </si>
  <si>
    <t>Min</t>
  </si>
  <si>
    <t>Features</t>
  </si>
  <si>
    <t>Value 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</si>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</sst>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1" fontId="0" fillId="0" borderId="10" xfId="0" applyNumberFormat="1" applyBorder="1"/>
    <xf numFmtId="9" fontId="0" fillId="0" borderId="10" xfId="42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Phần trăm" xfId="42" builtinId="5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colors>
    <mruColors>
      <color rgb="FFA68A6D"/>
      <color rgb="FF4B4D03"/>
      <color rgb="FFFFC107"/>
      <color rgb="FF4CAF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'.'!$R$4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'.'!$Q$5:$Q$6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'.'!$R$5:$R$6</c:f>
              <c:numCache>
                <c:formatCode>General</c:formatCode>
                <c:ptCount val="2"/>
                <c:pt idx="0">
                  <c:v>362</c:v>
                </c:pt>
                <c:pt idx="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0-4405-8842-DE6E538A5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3578464"/>
        <c:axId val="2053596224"/>
      </c:barChart>
      <c:catAx>
        <c:axId val="205357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96224"/>
        <c:crosses val="autoZero"/>
        <c:auto val="1"/>
        <c:lblAlgn val="ctr"/>
        <c:lblOffset val="100"/>
        <c:noMultiLvlLbl val="0"/>
      </c:catAx>
      <c:valAx>
        <c:axId val="205359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7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'.'!$Y$4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tx2"/>
            </a:solidFill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explosion val="3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1D-401C-BCE0-B4E81B9B23F9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1D-401C-BCE0-B4E81B9B23F9}"/>
              </c:ext>
            </c:extLst>
          </c:dPt>
          <c:dPt>
            <c:idx val="2"/>
            <c:bubble3D val="0"/>
            <c:spPr>
              <a:solidFill>
                <a:srgbClr val="A68A6D"/>
              </a:solidFill>
              <a:ln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A1D-401C-BCE0-B4E81B9B23F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'.'!$X$5:$X$7</c:f>
              <c:strCache>
                <c:ptCount val="3"/>
                <c:pt idx="0">
                  <c:v>Rural</c:v>
                </c:pt>
                <c:pt idx="1">
                  <c:v>Urban</c:v>
                </c:pt>
                <c:pt idx="2">
                  <c:v>Semiurban</c:v>
                </c:pt>
              </c:strCache>
            </c:strRef>
          </c:cat>
          <c:val>
            <c:numRef>
              <c:f>'.'!$Y$5:$Y$7</c:f>
              <c:numCache>
                <c:formatCode>General</c:formatCode>
                <c:ptCount val="3"/>
                <c:pt idx="0">
                  <c:v>126</c:v>
                </c:pt>
                <c:pt idx="1">
                  <c:v>138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B-46CA-B25F-B61F82C75E47}"/>
            </c:ext>
          </c:extLst>
        </c:ser>
        <c:ser>
          <c:idx val="1"/>
          <c:order val="1"/>
          <c:tx>
            <c:strRef>
              <c:f>'.'!$Z$4</c:f>
              <c:strCache>
                <c:ptCount val="1"/>
                <c:pt idx="0">
                  <c:v>Proportion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A1D-401C-BCE0-B4E81B9B23F9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A1D-401C-BCE0-B4E81B9B23F9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A1D-401C-BCE0-B4E81B9B23F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'.'!$X$5:$X$7</c:f>
              <c:strCache>
                <c:ptCount val="3"/>
                <c:pt idx="0">
                  <c:v>Rural</c:v>
                </c:pt>
                <c:pt idx="1">
                  <c:v>Urban</c:v>
                </c:pt>
                <c:pt idx="2">
                  <c:v>Semiurban</c:v>
                </c:pt>
              </c:strCache>
            </c:strRef>
          </c:cat>
          <c:val>
            <c:numRef>
              <c:f>'.'!$Z$5:$Z$7</c:f>
              <c:numCache>
                <c:formatCode>0%</c:formatCode>
                <c:ptCount val="3"/>
                <c:pt idx="0">
                  <c:v>0.28378378378378377</c:v>
                </c:pt>
                <c:pt idx="1">
                  <c:v>0.3108108108108108</c:v>
                </c:pt>
                <c:pt idx="2">
                  <c:v>0.40540540540540543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AB-46CA-B25F-B61F82C75E4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441532221059781E-2"/>
          <c:y val="8.7575259989053092E-2"/>
          <c:w val="0.88493842115889365"/>
          <c:h val="0.81325523964676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'.'!$Y$4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A68A6D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A7-4F62-8447-0351E876D92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98A7-4F62-8447-0351E876D9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'.'!$X$5:$X$7</c:f>
              <c:strCache>
                <c:ptCount val="3"/>
                <c:pt idx="0">
                  <c:v>Rural</c:v>
                </c:pt>
                <c:pt idx="1">
                  <c:v>Urban</c:v>
                </c:pt>
                <c:pt idx="2">
                  <c:v>Semiurban</c:v>
                </c:pt>
              </c:strCache>
            </c:strRef>
          </c:cat>
          <c:val>
            <c:numRef>
              <c:f>'.'!$Y$5:$Y$7</c:f>
              <c:numCache>
                <c:formatCode>General</c:formatCode>
                <c:ptCount val="3"/>
                <c:pt idx="0">
                  <c:v>126</c:v>
                </c:pt>
                <c:pt idx="1">
                  <c:v>138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E-4966-B1B0-1DA991FCD4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454031"/>
        <c:axId val="90452111"/>
      </c:barChart>
      <c:catAx>
        <c:axId val="904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2111"/>
        <c:crosses val="autoZero"/>
        <c:auto val="1"/>
        <c:lblAlgn val="ctr"/>
        <c:lblOffset val="100"/>
        <c:noMultiLvlLbl val="0"/>
      </c:catAx>
      <c:valAx>
        <c:axId val="904521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45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8</xdr:row>
      <xdr:rowOff>125730</xdr:rowOff>
    </xdr:from>
    <xdr:to>
      <xdr:col>19</xdr:col>
      <xdr:colOff>114300</xdr:colOff>
      <xdr:row>19</xdr:row>
      <xdr:rowOff>144780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96715CB5-F25E-4EA0-2E5D-E950B3A1F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38100</xdr:colOff>
      <xdr:row>8</xdr:row>
      <xdr:rowOff>95250</xdr:rowOff>
    </xdr:from>
    <xdr:to>
      <xdr:col>26</xdr:col>
      <xdr:colOff>449580</xdr:colOff>
      <xdr:row>20</xdr:row>
      <xdr:rowOff>30480</xdr:rowOff>
    </xdr:to>
    <xdr:graphicFrame macro="">
      <xdr:nvGraphicFramePr>
        <xdr:cNvPr id="6" name="Biểu đồ 5">
          <a:extLst>
            <a:ext uri="{FF2B5EF4-FFF2-40B4-BE49-F238E27FC236}">
              <a16:creationId xmlns:a16="http://schemas.microsoft.com/office/drawing/2014/main" id="{667445B6-744F-55B2-9328-3FCAC43C6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350520</xdr:colOff>
      <xdr:row>21</xdr:row>
      <xdr:rowOff>26670</xdr:rowOff>
    </xdr:from>
    <xdr:to>
      <xdr:col>24</xdr:col>
      <xdr:colOff>556260</xdr:colOff>
      <xdr:row>33</xdr:row>
      <xdr:rowOff>152400</xdr:rowOff>
    </xdr:to>
    <xdr:graphicFrame macro="">
      <xdr:nvGraphicFramePr>
        <xdr:cNvPr id="3" name="Biểu đồ 2">
          <a:extLst>
            <a:ext uri="{FF2B5EF4-FFF2-40B4-BE49-F238E27FC236}">
              <a16:creationId xmlns:a16="http://schemas.microsoft.com/office/drawing/2014/main" id="{9272170B-0199-B4EE-DC6A-A090D5F7E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0D91-CC4F-47C2-83F6-0F13A8F8EF5F}">
  <dimension ref="A1:A615"/>
  <sheetViews>
    <sheetView topLeftCell="A22" workbookViewId="0">
      <selection activeCell="D48" sqref="A1:XFD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C932-05D5-41C0-85A3-4499B0E1C020}">
  <dimension ref="A1:M615"/>
  <sheetViews>
    <sheetView workbookViewId="0">
      <selection activeCell="H430" sqref="H430"/>
    </sheetView>
  </sheetViews>
  <sheetFormatPr defaultRowHeight="14.4" x14ac:dyDescent="0.3"/>
  <sheetData>
    <row r="1" spans="1:13" x14ac:dyDescent="0.3">
      <c r="A1" t="s">
        <v>615</v>
      </c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</row>
    <row r="2" spans="1:13" x14ac:dyDescent="0.3">
      <c r="A2" t="s">
        <v>628</v>
      </c>
      <c r="B2" t="s">
        <v>629</v>
      </c>
      <c r="C2" t="s">
        <v>630</v>
      </c>
      <c r="D2">
        <v>0</v>
      </c>
      <c r="E2" t="s">
        <v>631</v>
      </c>
      <c r="F2" t="s">
        <v>630</v>
      </c>
      <c r="G2">
        <v>5849</v>
      </c>
      <c r="H2">
        <v>0</v>
      </c>
      <c r="J2">
        <v>360</v>
      </c>
      <c r="K2">
        <v>1</v>
      </c>
      <c r="L2" t="s">
        <v>632</v>
      </c>
      <c r="M2" t="s">
        <v>633</v>
      </c>
    </row>
    <row r="3" spans="1:13" x14ac:dyDescent="0.3">
      <c r="A3" t="s">
        <v>634</v>
      </c>
      <c r="B3" t="s">
        <v>629</v>
      </c>
      <c r="C3" t="s">
        <v>635</v>
      </c>
      <c r="D3">
        <v>1</v>
      </c>
      <c r="E3" t="s">
        <v>631</v>
      </c>
      <c r="F3" t="s">
        <v>630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636</v>
      </c>
      <c r="M3" t="s">
        <v>637</v>
      </c>
    </row>
    <row r="4" spans="1:13" x14ac:dyDescent="0.3">
      <c r="A4" t="s">
        <v>638</v>
      </c>
      <c r="B4" t="s">
        <v>629</v>
      </c>
      <c r="C4" t="s">
        <v>635</v>
      </c>
      <c r="D4">
        <v>0</v>
      </c>
      <c r="E4" t="s">
        <v>631</v>
      </c>
      <c r="F4" t="s">
        <v>635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632</v>
      </c>
      <c r="M4" t="s">
        <v>633</v>
      </c>
    </row>
    <row r="5" spans="1:13" x14ac:dyDescent="0.3">
      <c r="A5" t="s">
        <v>639</v>
      </c>
      <c r="B5" t="s">
        <v>629</v>
      </c>
      <c r="C5" t="s">
        <v>635</v>
      </c>
      <c r="D5">
        <v>0</v>
      </c>
      <c r="E5" t="s">
        <v>640</v>
      </c>
      <c r="F5" t="s">
        <v>630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632</v>
      </c>
      <c r="M5" t="s">
        <v>633</v>
      </c>
    </row>
    <row r="6" spans="1:13" x14ac:dyDescent="0.3">
      <c r="A6" t="s">
        <v>641</v>
      </c>
      <c r="B6" t="s">
        <v>629</v>
      </c>
      <c r="C6" t="s">
        <v>630</v>
      </c>
      <c r="D6">
        <v>0</v>
      </c>
      <c r="E6" t="s">
        <v>631</v>
      </c>
      <c r="F6" t="s">
        <v>630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632</v>
      </c>
      <c r="M6" t="s">
        <v>633</v>
      </c>
    </row>
    <row r="7" spans="1:13" x14ac:dyDescent="0.3">
      <c r="A7" t="s">
        <v>642</v>
      </c>
      <c r="B7" t="s">
        <v>629</v>
      </c>
      <c r="C7" t="s">
        <v>635</v>
      </c>
      <c r="D7">
        <v>2</v>
      </c>
      <c r="E7" t="s">
        <v>631</v>
      </c>
      <c r="F7" t="s">
        <v>635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632</v>
      </c>
      <c r="M7" t="s">
        <v>633</v>
      </c>
    </row>
    <row r="8" spans="1:13" x14ac:dyDescent="0.3">
      <c r="A8" t="s">
        <v>643</v>
      </c>
      <c r="B8" t="s">
        <v>629</v>
      </c>
      <c r="C8" t="s">
        <v>635</v>
      </c>
      <c r="D8">
        <v>0</v>
      </c>
      <c r="E8" t="s">
        <v>640</v>
      </c>
      <c r="F8" t="s">
        <v>630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632</v>
      </c>
      <c r="M8" t="s">
        <v>633</v>
      </c>
    </row>
    <row r="9" spans="1:13" x14ac:dyDescent="0.3">
      <c r="A9" t="s">
        <v>644</v>
      </c>
      <c r="B9" t="s">
        <v>629</v>
      </c>
      <c r="C9" t="s">
        <v>635</v>
      </c>
      <c r="D9" t="s">
        <v>645</v>
      </c>
      <c r="E9" t="s">
        <v>631</v>
      </c>
      <c r="F9" t="s">
        <v>630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646</v>
      </c>
      <c r="M9" t="s">
        <v>637</v>
      </c>
    </row>
    <row r="10" spans="1:13" x14ac:dyDescent="0.3">
      <c r="A10" t="s">
        <v>647</v>
      </c>
      <c r="B10" t="s">
        <v>629</v>
      </c>
      <c r="C10" t="s">
        <v>635</v>
      </c>
      <c r="D10">
        <v>2</v>
      </c>
      <c r="E10" t="s">
        <v>631</v>
      </c>
      <c r="F10" t="s">
        <v>630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632</v>
      </c>
      <c r="M10" t="s">
        <v>633</v>
      </c>
    </row>
    <row r="11" spans="1:13" x14ac:dyDescent="0.3">
      <c r="A11" t="s">
        <v>648</v>
      </c>
      <c r="B11" t="s">
        <v>629</v>
      </c>
      <c r="C11" t="s">
        <v>635</v>
      </c>
      <c r="D11">
        <v>1</v>
      </c>
      <c r="E11" t="s">
        <v>631</v>
      </c>
      <c r="F11" t="s">
        <v>630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646</v>
      </c>
      <c r="M11" t="s">
        <v>637</v>
      </c>
    </row>
    <row r="12" spans="1:13" x14ac:dyDescent="0.3">
      <c r="A12" t="s">
        <v>649</v>
      </c>
      <c r="B12" t="s">
        <v>629</v>
      </c>
      <c r="C12" t="s">
        <v>635</v>
      </c>
      <c r="D12">
        <v>2</v>
      </c>
      <c r="E12" t="s">
        <v>631</v>
      </c>
      <c r="F12" t="s">
        <v>630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632</v>
      </c>
      <c r="M12" t="s">
        <v>633</v>
      </c>
    </row>
    <row r="13" spans="1:13" x14ac:dyDescent="0.3">
      <c r="A13" t="s">
        <v>650</v>
      </c>
      <c r="B13" t="s">
        <v>629</v>
      </c>
      <c r="C13" t="s">
        <v>635</v>
      </c>
      <c r="D13">
        <v>2</v>
      </c>
      <c r="E13" t="s">
        <v>631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632</v>
      </c>
      <c r="M13" t="s">
        <v>633</v>
      </c>
    </row>
    <row r="14" spans="1:13" x14ac:dyDescent="0.3">
      <c r="A14" t="s">
        <v>651</v>
      </c>
      <c r="B14" t="s">
        <v>629</v>
      </c>
      <c r="C14" t="s">
        <v>635</v>
      </c>
      <c r="D14">
        <v>2</v>
      </c>
      <c r="E14" t="s">
        <v>631</v>
      </c>
      <c r="F14" t="s">
        <v>630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632</v>
      </c>
      <c r="M14" t="s">
        <v>633</v>
      </c>
    </row>
    <row r="15" spans="1:13" x14ac:dyDescent="0.3">
      <c r="A15" t="s">
        <v>652</v>
      </c>
      <c r="B15" t="s">
        <v>629</v>
      </c>
      <c r="C15" t="s">
        <v>630</v>
      </c>
      <c r="D15">
        <v>0</v>
      </c>
      <c r="E15" t="s">
        <v>631</v>
      </c>
      <c r="F15" t="s">
        <v>630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636</v>
      </c>
      <c r="M15" t="s">
        <v>637</v>
      </c>
    </row>
    <row r="16" spans="1:13" x14ac:dyDescent="0.3">
      <c r="A16" t="s">
        <v>653</v>
      </c>
      <c r="B16" t="s">
        <v>629</v>
      </c>
      <c r="C16" t="s">
        <v>635</v>
      </c>
      <c r="D16">
        <v>2</v>
      </c>
      <c r="E16" t="s">
        <v>631</v>
      </c>
      <c r="F16" t="s">
        <v>630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632</v>
      </c>
      <c r="M16" t="s">
        <v>633</v>
      </c>
    </row>
    <row r="17" spans="1:13" x14ac:dyDescent="0.3">
      <c r="A17" t="s">
        <v>654</v>
      </c>
      <c r="B17" t="s">
        <v>629</v>
      </c>
      <c r="C17" t="s">
        <v>630</v>
      </c>
      <c r="D17">
        <v>0</v>
      </c>
      <c r="E17" t="s">
        <v>631</v>
      </c>
      <c r="F17" t="s">
        <v>630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632</v>
      </c>
      <c r="M17" t="s">
        <v>633</v>
      </c>
    </row>
    <row r="18" spans="1:13" x14ac:dyDescent="0.3">
      <c r="A18" t="s">
        <v>655</v>
      </c>
      <c r="B18" t="s">
        <v>629</v>
      </c>
      <c r="C18" t="s">
        <v>630</v>
      </c>
      <c r="D18">
        <v>1</v>
      </c>
      <c r="E18" t="s">
        <v>640</v>
      </c>
      <c r="F18" t="s">
        <v>630</v>
      </c>
      <c r="G18">
        <v>3596</v>
      </c>
      <c r="H18">
        <v>0</v>
      </c>
      <c r="I18">
        <v>100</v>
      </c>
      <c r="J18">
        <v>240</v>
      </c>
      <c r="L18" t="s">
        <v>632</v>
      </c>
      <c r="M18" t="s">
        <v>633</v>
      </c>
    </row>
    <row r="19" spans="1:13" x14ac:dyDescent="0.3">
      <c r="A19" t="s">
        <v>656</v>
      </c>
      <c r="B19" t="s">
        <v>657</v>
      </c>
      <c r="C19" t="s">
        <v>630</v>
      </c>
      <c r="D19">
        <v>0</v>
      </c>
      <c r="E19" t="s">
        <v>631</v>
      </c>
      <c r="F19" t="s">
        <v>630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632</v>
      </c>
      <c r="M19" t="s">
        <v>637</v>
      </c>
    </row>
    <row r="20" spans="1:13" x14ac:dyDescent="0.3">
      <c r="A20" t="s">
        <v>658</v>
      </c>
      <c r="B20" t="s">
        <v>629</v>
      </c>
      <c r="C20" t="s">
        <v>635</v>
      </c>
      <c r="D20">
        <v>0</v>
      </c>
      <c r="E20" t="s">
        <v>640</v>
      </c>
      <c r="F20" t="s">
        <v>630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636</v>
      </c>
      <c r="M20" t="s">
        <v>637</v>
      </c>
    </row>
    <row r="21" spans="1:13" x14ac:dyDescent="0.3">
      <c r="A21" t="s">
        <v>659</v>
      </c>
      <c r="B21" t="s">
        <v>629</v>
      </c>
      <c r="C21" t="s">
        <v>635</v>
      </c>
      <c r="D21">
        <v>0</v>
      </c>
      <c r="E21" t="s">
        <v>631</v>
      </c>
      <c r="G21">
        <v>2600</v>
      </c>
      <c r="H21">
        <v>3500</v>
      </c>
      <c r="I21">
        <v>115</v>
      </c>
      <c r="K21">
        <v>1</v>
      </c>
      <c r="L21" t="s">
        <v>632</v>
      </c>
      <c r="M21" t="s">
        <v>633</v>
      </c>
    </row>
    <row r="22" spans="1:13" x14ac:dyDescent="0.3">
      <c r="A22" t="s">
        <v>660</v>
      </c>
      <c r="B22" t="s">
        <v>629</v>
      </c>
      <c r="C22" t="s">
        <v>635</v>
      </c>
      <c r="D22">
        <v>0</v>
      </c>
      <c r="E22" t="s">
        <v>640</v>
      </c>
      <c r="F22" t="s">
        <v>630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632</v>
      </c>
      <c r="M22" t="s">
        <v>637</v>
      </c>
    </row>
    <row r="23" spans="1:13" x14ac:dyDescent="0.3">
      <c r="A23" t="s">
        <v>661</v>
      </c>
      <c r="B23" t="s">
        <v>629</v>
      </c>
      <c r="C23" t="s">
        <v>635</v>
      </c>
      <c r="D23">
        <v>1</v>
      </c>
      <c r="E23" t="s">
        <v>631</v>
      </c>
      <c r="F23" t="s">
        <v>630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632</v>
      </c>
      <c r="M23" t="s">
        <v>633</v>
      </c>
    </row>
    <row r="24" spans="1:13" x14ac:dyDescent="0.3">
      <c r="A24" t="s">
        <v>662</v>
      </c>
      <c r="B24" t="s">
        <v>629</v>
      </c>
      <c r="C24" t="s">
        <v>635</v>
      </c>
      <c r="D24">
        <v>0</v>
      </c>
      <c r="E24" t="s">
        <v>640</v>
      </c>
      <c r="F24" t="s">
        <v>630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646</v>
      </c>
      <c r="M24" t="s">
        <v>637</v>
      </c>
    </row>
    <row r="25" spans="1:13" x14ac:dyDescent="0.3">
      <c r="A25" t="s">
        <v>663</v>
      </c>
      <c r="C25" t="s">
        <v>635</v>
      </c>
      <c r="D25">
        <v>2</v>
      </c>
      <c r="E25" t="s">
        <v>640</v>
      </c>
      <c r="F25" t="s">
        <v>630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636</v>
      </c>
      <c r="M25" t="s">
        <v>637</v>
      </c>
    </row>
    <row r="26" spans="1:13" x14ac:dyDescent="0.3">
      <c r="A26" t="s">
        <v>664</v>
      </c>
      <c r="B26" t="s">
        <v>629</v>
      </c>
      <c r="C26" t="s">
        <v>635</v>
      </c>
      <c r="D26">
        <v>1</v>
      </c>
      <c r="E26" t="s">
        <v>631</v>
      </c>
      <c r="G26">
        <v>3717</v>
      </c>
      <c r="H26">
        <v>2925</v>
      </c>
      <c r="I26">
        <v>151</v>
      </c>
      <c r="J26">
        <v>360</v>
      </c>
      <c r="L26" t="s">
        <v>646</v>
      </c>
      <c r="M26" t="s">
        <v>637</v>
      </c>
    </row>
    <row r="27" spans="1:13" x14ac:dyDescent="0.3">
      <c r="A27" t="s">
        <v>665</v>
      </c>
      <c r="B27" t="s">
        <v>629</v>
      </c>
      <c r="C27" t="s">
        <v>635</v>
      </c>
      <c r="D27">
        <v>0</v>
      </c>
      <c r="E27" t="s">
        <v>631</v>
      </c>
      <c r="F27" t="s">
        <v>635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646</v>
      </c>
      <c r="M27" t="s">
        <v>633</v>
      </c>
    </row>
    <row r="28" spans="1:13" x14ac:dyDescent="0.3">
      <c r="A28" t="s">
        <v>666</v>
      </c>
      <c r="B28" t="s">
        <v>629</v>
      </c>
      <c r="C28" t="s">
        <v>635</v>
      </c>
      <c r="D28">
        <v>0</v>
      </c>
      <c r="E28" t="s">
        <v>631</v>
      </c>
      <c r="F28" t="s">
        <v>630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646</v>
      </c>
      <c r="M28" t="s">
        <v>633</v>
      </c>
    </row>
    <row r="29" spans="1:13" x14ac:dyDescent="0.3">
      <c r="A29" t="s">
        <v>667</v>
      </c>
      <c r="B29" t="s">
        <v>629</v>
      </c>
      <c r="C29" t="s">
        <v>635</v>
      </c>
      <c r="D29">
        <v>2</v>
      </c>
      <c r="E29" t="s">
        <v>640</v>
      </c>
      <c r="F29" t="s">
        <v>630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632</v>
      </c>
      <c r="M29" t="s">
        <v>633</v>
      </c>
    </row>
    <row r="30" spans="1:13" x14ac:dyDescent="0.3">
      <c r="A30" t="s">
        <v>668</v>
      </c>
      <c r="B30" t="s">
        <v>629</v>
      </c>
      <c r="C30" t="s">
        <v>630</v>
      </c>
      <c r="D30">
        <v>0</v>
      </c>
      <c r="E30" t="s">
        <v>640</v>
      </c>
      <c r="F30" t="s">
        <v>630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632</v>
      </c>
      <c r="M30" t="s">
        <v>637</v>
      </c>
    </row>
    <row r="31" spans="1:13" x14ac:dyDescent="0.3">
      <c r="A31" t="s">
        <v>669</v>
      </c>
      <c r="B31" t="s">
        <v>657</v>
      </c>
      <c r="C31" t="s">
        <v>630</v>
      </c>
      <c r="D31">
        <v>2</v>
      </c>
      <c r="E31" t="s">
        <v>631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646</v>
      </c>
      <c r="M31" t="s">
        <v>633</v>
      </c>
    </row>
    <row r="32" spans="1:13" x14ac:dyDescent="0.3">
      <c r="A32" t="s">
        <v>670</v>
      </c>
      <c r="B32" t="s">
        <v>629</v>
      </c>
      <c r="C32" t="s">
        <v>635</v>
      </c>
      <c r="D32">
        <v>1</v>
      </c>
      <c r="E32" t="s">
        <v>631</v>
      </c>
      <c r="G32">
        <v>4166</v>
      </c>
      <c r="H32">
        <v>3369</v>
      </c>
      <c r="I32">
        <v>201</v>
      </c>
      <c r="J32">
        <v>360</v>
      </c>
      <c r="L32" t="s">
        <v>632</v>
      </c>
      <c r="M32" t="s">
        <v>637</v>
      </c>
    </row>
    <row r="33" spans="1:13" x14ac:dyDescent="0.3">
      <c r="A33" t="s">
        <v>671</v>
      </c>
      <c r="B33" t="s">
        <v>629</v>
      </c>
      <c r="C33" t="s">
        <v>630</v>
      </c>
      <c r="D33">
        <v>0</v>
      </c>
      <c r="E33" t="s">
        <v>631</v>
      </c>
      <c r="F33" t="s">
        <v>630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632</v>
      </c>
      <c r="M33" t="s">
        <v>637</v>
      </c>
    </row>
    <row r="34" spans="1:13" x14ac:dyDescent="0.3">
      <c r="A34" t="s">
        <v>672</v>
      </c>
      <c r="B34" t="s">
        <v>629</v>
      </c>
      <c r="C34" t="s">
        <v>630</v>
      </c>
      <c r="D34">
        <v>1</v>
      </c>
      <c r="E34" t="s">
        <v>631</v>
      </c>
      <c r="F34" t="s">
        <v>635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636</v>
      </c>
      <c r="M34" t="s">
        <v>637</v>
      </c>
    </row>
    <row r="35" spans="1:13" x14ac:dyDescent="0.3">
      <c r="A35" t="s">
        <v>673</v>
      </c>
      <c r="B35" t="s">
        <v>629</v>
      </c>
      <c r="C35" t="s">
        <v>635</v>
      </c>
      <c r="D35">
        <v>0</v>
      </c>
      <c r="E35" t="s">
        <v>631</v>
      </c>
      <c r="F35" t="s">
        <v>630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646</v>
      </c>
      <c r="M35" t="s">
        <v>633</v>
      </c>
    </row>
    <row r="36" spans="1:13" x14ac:dyDescent="0.3">
      <c r="A36" t="s">
        <v>674</v>
      </c>
      <c r="B36" t="s">
        <v>629</v>
      </c>
      <c r="C36" t="s">
        <v>630</v>
      </c>
      <c r="D36" t="s">
        <v>645</v>
      </c>
      <c r="E36" t="s">
        <v>631</v>
      </c>
      <c r="F36" t="s">
        <v>630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636</v>
      </c>
      <c r="M36" t="s">
        <v>637</v>
      </c>
    </row>
    <row r="37" spans="1:13" x14ac:dyDescent="0.3">
      <c r="A37" t="s">
        <v>675</v>
      </c>
      <c r="B37" t="s">
        <v>629</v>
      </c>
      <c r="C37" t="s">
        <v>635</v>
      </c>
      <c r="D37">
        <v>0</v>
      </c>
      <c r="E37" t="s">
        <v>631</v>
      </c>
      <c r="F37" t="s">
        <v>630</v>
      </c>
      <c r="G37">
        <v>2275</v>
      </c>
      <c r="H37">
        <v>2067</v>
      </c>
      <c r="J37">
        <v>360</v>
      </c>
      <c r="K37">
        <v>1</v>
      </c>
      <c r="L37" t="s">
        <v>632</v>
      </c>
      <c r="M37" t="s">
        <v>633</v>
      </c>
    </row>
    <row r="38" spans="1:13" x14ac:dyDescent="0.3">
      <c r="A38" t="s">
        <v>676</v>
      </c>
      <c r="B38" t="s">
        <v>629</v>
      </c>
      <c r="C38" t="s">
        <v>635</v>
      </c>
      <c r="D38">
        <v>0</v>
      </c>
      <c r="E38" t="s">
        <v>631</v>
      </c>
      <c r="F38" t="s">
        <v>630</v>
      </c>
      <c r="G38">
        <v>1828</v>
      </c>
      <c r="H38">
        <v>1330</v>
      </c>
      <c r="I38">
        <v>100</v>
      </c>
      <c r="K38">
        <v>0</v>
      </c>
      <c r="L38" t="s">
        <v>632</v>
      </c>
      <c r="M38" t="s">
        <v>637</v>
      </c>
    </row>
    <row r="39" spans="1:13" x14ac:dyDescent="0.3">
      <c r="A39" t="s">
        <v>677</v>
      </c>
      <c r="B39" t="s">
        <v>657</v>
      </c>
      <c r="C39" t="s">
        <v>635</v>
      </c>
      <c r="D39">
        <v>0</v>
      </c>
      <c r="E39" t="s">
        <v>631</v>
      </c>
      <c r="F39" t="s">
        <v>630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646</v>
      </c>
      <c r="M39" t="s">
        <v>633</v>
      </c>
    </row>
    <row r="40" spans="1:13" x14ac:dyDescent="0.3">
      <c r="A40" t="s">
        <v>678</v>
      </c>
      <c r="B40" t="s">
        <v>629</v>
      </c>
      <c r="C40" t="s">
        <v>630</v>
      </c>
      <c r="D40">
        <v>0</v>
      </c>
      <c r="E40" t="s">
        <v>631</v>
      </c>
      <c r="F40" t="s">
        <v>630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632</v>
      </c>
      <c r="M40" t="s">
        <v>633</v>
      </c>
    </row>
    <row r="41" spans="1:13" x14ac:dyDescent="0.3">
      <c r="A41" t="s">
        <v>679</v>
      </c>
      <c r="B41" t="s">
        <v>629</v>
      </c>
      <c r="C41" t="s">
        <v>630</v>
      </c>
      <c r="D41">
        <v>0</v>
      </c>
      <c r="E41" t="s">
        <v>640</v>
      </c>
      <c r="F41" t="s">
        <v>630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646</v>
      </c>
      <c r="M41" t="s">
        <v>633</v>
      </c>
    </row>
    <row r="42" spans="1:13" x14ac:dyDescent="0.3">
      <c r="A42" t="s">
        <v>680</v>
      </c>
      <c r="B42" t="s">
        <v>629</v>
      </c>
      <c r="C42" t="s">
        <v>630</v>
      </c>
      <c r="D42">
        <v>0</v>
      </c>
      <c r="E42" t="s">
        <v>631</v>
      </c>
      <c r="F42" t="s">
        <v>630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632</v>
      </c>
      <c r="M42" t="s">
        <v>637</v>
      </c>
    </row>
    <row r="43" spans="1:13" x14ac:dyDescent="0.3">
      <c r="A43" t="s">
        <v>681</v>
      </c>
      <c r="B43" t="s">
        <v>629</v>
      </c>
      <c r="C43" t="s">
        <v>630</v>
      </c>
      <c r="D43">
        <v>0</v>
      </c>
      <c r="E43" t="s">
        <v>631</v>
      </c>
      <c r="F43" t="s">
        <v>630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632</v>
      </c>
      <c r="M43" t="s">
        <v>633</v>
      </c>
    </row>
    <row r="44" spans="1:13" x14ac:dyDescent="0.3">
      <c r="A44" t="s">
        <v>682</v>
      </c>
      <c r="B44" t="s">
        <v>629</v>
      </c>
      <c r="C44" t="s">
        <v>635</v>
      </c>
      <c r="D44">
        <v>0</v>
      </c>
      <c r="E44" t="s">
        <v>631</v>
      </c>
      <c r="F44" t="s">
        <v>630</v>
      </c>
      <c r="G44">
        <v>2400</v>
      </c>
      <c r="H44">
        <v>0</v>
      </c>
      <c r="I44">
        <v>75</v>
      </c>
      <c r="J44">
        <v>360</v>
      </c>
      <c r="L44" t="s">
        <v>632</v>
      </c>
      <c r="M44" t="s">
        <v>633</v>
      </c>
    </row>
    <row r="45" spans="1:13" x14ac:dyDescent="0.3">
      <c r="A45" t="s">
        <v>683</v>
      </c>
      <c r="B45" t="s">
        <v>629</v>
      </c>
      <c r="C45" t="s">
        <v>635</v>
      </c>
      <c r="D45">
        <v>0</v>
      </c>
      <c r="E45" t="s">
        <v>631</v>
      </c>
      <c r="F45" t="s">
        <v>630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646</v>
      </c>
      <c r="M45" t="s">
        <v>633</v>
      </c>
    </row>
    <row r="46" spans="1:13" x14ac:dyDescent="0.3">
      <c r="A46" t="s">
        <v>684</v>
      </c>
      <c r="B46" t="s">
        <v>629</v>
      </c>
      <c r="C46" t="s">
        <v>635</v>
      </c>
      <c r="D46">
        <v>0</v>
      </c>
      <c r="E46" t="s">
        <v>640</v>
      </c>
      <c r="F46" t="s">
        <v>635</v>
      </c>
      <c r="G46">
        <v>4695</v>
      </c>
      <c r="H46">
        <v>0</v>
      </c>
      <c r="I46">
        <v>96</v>
      </c>
      <c r="K46">
        <v>1</v>
      </c>
      <c r="L46" t="s">
        <v>632</v>
      </c>
      <c r="M46" t="s">
        <v>633</v>
      </c>
    </row>
    <row r="47" spans="1:13" x14ac:dyDescent="0.3">
      <c r="A47" t="s">
        <v>685</v>
      </c>
      <c r="B47" t="s">
        <v>657</v>
      </c>
      <c r="C47" t="s">
        <v>630</v>
      </c>
      <c r="D47">
        <v>0</v>
      </c>
      <c r="E47" t="s">
        <v>631</v>
      </c>
      <c r="F47" t="s">
        <v>630</v>
      </c>
      <c r="G47">
        <v>3410</v>
      </c>
      <c r="H47">
        <v>0</v>
      </c>
      <c r="I47">
        <v>88</v>
      </c>
      <c r="K47">
        <v>1</v>
      </c>
      <c r="L47" t="s">
        <v>632</v>
      </c>
      <c r="M47" t="s">
        <v>633</v>
      </c>
    </row>
    <row r="48" spans="1:13" x14ac:dyDescent="0.3">
      <c r="A48" t="s">
        <v>686</v>
      </c>
      <c r="B48" t="s">
        <v>629</v>
      </c>
      <c r="C48" t="s">
        <v>635</v>
      </c>
      <c r="D48">
        <v>1</v>
      </c>
      <c r="E48" t="s">
        <v>631</v>
      </c>
      <c r="F48" t="s">
        <v>630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632</v>
      </c>
      <c r="M48" t="s">
        <v>633</v>
      </c>
    </row>
    <row r="49" spans="1:13" x14ac:dyDescent="0.3">
      <c r="A49" t="s">
        <v>687</v>
      </c>
      <c r="B49" t="s">
        <v>629</v>
      </c>
      <c r="C49" t="s">
        <v>635</v>
      </c>
      <c r="D49">
        <v>0</v>
      </c>
      <c r="E49" t="s">
        <v>631</v>
      </c>
      <c r="F49" t="s">
        <v>630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632</v>
      </c>
      <c r="M49" t="s">
        <v>633</v>
      </c>
    </row>
    <row r="50" spans="1:13" x14ac:dyDescent="0.3">
      <c r="A50" t="s">
        <v>688</v>
      </c>
      <c r="B50" t="s">
        <v>657</v>
      </c>
      <c r="C50" t="s">
        <v>635</v>
      </c>
      <c r="D50">
        <v>0</v>
      </c>
      <c r="E50" t="s">
        <v>631</v>
      </c>
      <c r="F50" t="s">
        <v>630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632</v>
      </c>
      <c r="M50" t="s">
        <v>637</v>
      </c>
    </row>
    <row r="51" spans="1:13" x14ac:dyDescent="0.3">
      <c r="A51" t="s">
        <v>689</v>
      </c>
      <c r="B51" t="s">
        <v>657</v>
      </c>
      <c r="C51" t="s">
        <v>630</v>
      </c>
      <c r="D51">
        <v>0</v>
      </c>
      <c r="E51" t="s">
        <v>631</v>
      </c>
      <c r="F51" t="s">
        <v>630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646</v>
      </c>
      <c r="M51" t="s">
        <v>633</v>
      </c>
    </row>
    <row r="52" spans="1:13" x14ac:dyDescent="0.3">
      <c r="A52" t="s">
        <v>690</v>
      </c>
      <c r="B52" t="s">
        <v>657</v>
      </c>
      <c r="C52" t="s">
        <v>635</v>
      </c>
      <c r="D52">
        <v>0</v>
      </c>
      <c r="E52" t="s">
        <v>640</v>
      </c>
      <c r="F52" t="s">
        <v>630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646</v>
      </c>
      <c r="M52" t="s">
        <v>633</v>
      </c>
    </row>
    <row r="53" spans="1:13" x14ac:dyDescent="0.3">
      <c r="A53" t="s">
        <v>691</v>
      </c>
      <c r="B53" t="s">
        <v>657</v>
      </c>
      <c r="C53" t="s">
        <v>630</v>
      </c>
      <c r="D53">
        <v>0</v>
      </c>
      <c r="E53" t="s">
        <v>631</v>
      </c>
      <c r="F53" t="s">
        <v>630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646</v>
      </c>
      <c r="M53" t="s">
        <v>633</v>
      </c>
    </row>
    <row r="54" spans="1:13" x14ac:dyDescent="0.3">
      <c r="A54" t="s">
        <v>692</v>
      </c>
      <c r="B54" t="s">
        <v>657</v>
      </c>
      <c r="C54" t="s">
        <v>630</v>
      </c>
      <c r="D54">
        <v>0</v>
      </c>
      <c r="E54" t="s">
        <v>631</v>
      </c>
      <c r="F54" t="s">
        <v>630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646</v>
      </c>
      <c r="M54" t="s">
        <v>637</v>
      </c>
    </row>
    <row r="55" spans="1:13" x14ac:dyDescent="0.3">
      <c r="A55" t="s">
        <v>693</v>
      </c>
      <c r="B55" t="s">
        <v>629</v>
      </c>
      <c r="C55" t="s">
        <v>635</v>
      </c>
      <c r="D55">
        <v>2</v>
      </c>
      <c r="E55" t="s">
        <v>631</v>
      </c>
      <c r="F55" t="s">
        <v>630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632</v>
      </c>
      <c r="M55" t="s">
        <v>637</v>
      </c>
    </row>
    <row r="56" spans="1:13" x14ac:dyDescent="0.3">
      <c r="A56" t="s">
        <v>694</v>
      </c>
      <c r="B56" t="s">
        <v>657</v>
      </c>
      <c r="C56" t="s">
        <v>635</v>
      </c>
      <c r="D56">
        <v>1</v>
      </c>
      <c r="E56" t="s">
        <v>631</v>
      </c>
      <c r="F56" t="s">
        <v>635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632</v>
      </c>
      <c r="M56" t="s">
        <v>637</v>
      </c>
    </row>
    <row r="57" spans="1:13" x14ac:dyDescent="0.3">
      <c r="A57" t="s">
        <v>695</v>
      </c>
      <c r="B57" t="s">
        <v>629</v>
      </c>
      <c r="C57" t="s">
        <v>635</v>
      </c>
      <c r="D57">
        <v>2</v>
      </c>
      <c r="E57" t="s">
        <v>631</v>
      </c>
      <c r="F57" t="s">
        <v>630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646</v>
      </c>
      <c r="M57" t="s">
        <v>633</v>
      </c>
    </row>
    <row r="58" spans="1:13" x14ac:dyDescent="0.3">
      <c r="A58" t="s">
        <v>696</v>
      </c>
      <c r="B58" t="s">
        <v>629</v>
      </c>
      <c r="C58" t="s">
        <v>635</v>
      </c>
      <c r="D58">
        <v>0</v>
      </c>
      <c r="E58" t="s">
        <v>631</v>
      </c>
      <c r="F58" t="s">
        <v>630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646</v>
      </c>
      <c r="M58" t="s">
        <v>633</v>
      </c>
    </row>
    <row r="59" spans="1:13" x14ac:dyDescent="0.3">
      <c r="A59" t="s">
        <v>697</v>
      </c>
      <c r="B59" t="s">
        <v>629</v>
      </c>
      <c r="C59" t="s">
        <v>635</v>
      </c>
      <c r="D59">
        <v>0</v>
      </c>
      <c r="E59" t="s">
        <v>631</v>
      </c>
      <c r="F59" t="s">
        <v>630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636</v>
      </c>
      <c r="M59" t="s">
        <v>637</v>
      </c>
    </row>
    <row r="60" spans="1:13" x14ac:dyDescent="0.3">
      <c r="A60" t="s">
        <v>698</v>
      </c>
      <c r="B60" t="s">
        <v>629</v>
      </c>
      <c r="C60" t="s">
        <v>635</v>
      </c>
      <c r="D60">
        <v>1</v>
      </c>
      <c r="E60" t="s">
        <v>631</v>
      </c>
      <c r="F60" t="s">
        <v>630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632</v>
      </c>
      <c r="M60" t="s">
        <v>633</v>
      </c>
    </row>
    <row r="61" spans="1:13" x14ac:dyDescent="0.3">
      <c r="A61" t="s">
        <v>699</v>
      </c>
      <c r="B61" t="s">
        <v>629</v>
      </c>
      <c r="C61" t="s">
        <v>635</v>
      </c>
      <c r="D61">
        <v>2</v>
      </c>
      <c r="E61" t="s">
        <v>640</v>
      </c>
      <c r="F61" t="s">
        <v>630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632</v>
      </c>
      <c r="M61" t="s">
        <v>633</v>
      </c>
    </row>
    <row r="62" spans="1:13" x14ac:dyDescent="0.3">
      <c r="A62" t="s">
        <v>700</v>
      </c>
      <c r="B62" t="s">
        <v>629</v>
      </c>
      <c r="C62" t="s">
        <v>635</v>
      </c>
      <c r="D62">
        <v>0</v>
      </c>
      <c r="E62" t="s">
        <v>631</v>
      </c>
      <c r="F62" t="s">
        <v>630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632</v>
      </c>
      <c r="M62" t="s">
        <v>633</v>
      </c>
    </row>
    <row r="63" spans="1:13" x14ac:dyDescent="0.3">
      <c r="A63" t="s">
        <v>701</v>
      </c>
      <c r="B63" t="s">
        <v>629</v>
      </c>
      <c r="C63" t="s">
        <v>635</v>
      </c>
      <c r="D63" t="s">
        <v>645</v>
      </c>
      <c r="E63" t="s">
        <v>631</v>
      </c>
      <c r="F63" t="s">
        <v>630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632</v>
      </c>
      <c r="M63" t="s">
        <v>633</v>
      </c>
    </row>
    <row r="64" spans="1:13" x14ac:dyDescent="0.3">
      <c r="A64" t="s">
        <v>702</v>
      </c>
      <c r="B64" t="s">
        <v>629</v>
      </c>
      <c r="C64" t="s">
        <v>635</v>
      </c>
      <c r="D64">
        <v>0</v>
      </c>
      <c r="E64" t="s">
        <v>640</v>
      </c>
      <c r="F64" t="s">
        <v>635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636</v>
      </c>
      <c r="M64" t="s">
        <v>637</v>
      </c>
    </row>
    <row r="65" spans="1:13" x14ac:dyDescent="0.3">
      <c r="A65" t="s">
        <v>703</v>
      </c>
      <c r="B65" t="s">
        <v>629</v>
      </c>
      <c r="C65" t="s">
        <v>635</v>
      </c>
      <c r="D65">
        <v>1</v>
      </c>
      <c r="E65" t="s">
        <v>631</v>
      </c>
      <c r="F65" t="s">
        <v>630</v>
      </c>
      <c r="G65">
        <v>4945</v>
      </c>
      <c r="H65">
        <v>0</v>
      </c>
      <c r="J65">
        <v>360</v>
      </c>
      <c r="K65">
        <v>0</v>
      </c>
      <c r="L65" t="s">
        <v>636</v>
      </c>
      <c r="M65" t="s">
        <v>637</v>
      </c>
    </row>
    <row r="66" spans="1:13" x14ac:dyDescent="0.3">
      <c r="A66" t="s">
        <v>704</v>
      </c>
      <c r="B66" t="s">
        <v>657</v>
      </c>
      <c r="C66" t="s">
        <v>630</v>
      </c>
      <c r="D66">
        <v>0</v>
      </c>
      <c r="E66" t="s">
        <v>631</v>
      </c>
      <c r="F66" t="s">
        <v>630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646</v>
      </c>
      <c r="M66" t="s">
        <v>637</v>
      </c>
    </row>
    <row r="67" spans="1:13" x14ac:dyDescent="0.3">
      <c r="A67" t="s">
        <v>705</v>
      </c>
      <c r="B67" t="s">
        <v>629</v>
      </c>
      <c r="C67" t="s">
        <v>635</v>
      </c>
      <c r="D67">
        <v>0</v>
      </c>
      <c r="E67" t="s">
        <v>631</v>
      </c>
      <c r="F67" t="s">
        <v>630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646</v>
      </c>
      <c r="M67" t="s">
        <v>637</v>
      </c>
    </row>
    <row r="68" spans="1:13" x14ac:dyDescent="0.3">
      <c r="A68" t="s">
        <v>706</v>
      </c>
      <c r="B68" t="s">
        <v>629</v>
      </c>
      <c r="C68" t="s">
        <v>630</v>
      </c>
      <c r="D68">
        <v>0</v>
      </c>
      <c r="E68" t="s">
        <v>640</v>
      </c>
      <c r="F68" t="s">
        <v>630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632</v>
      </c>
      <c r="M68" t="s">
        <v>637</v>
      </c>
    </row>
    <row r="69" spans="1:13" x14ac:dyDescent="0.3">
      <c r="A69" t="s">
        <v>707</v>
      </c>
      <c r="B69" t="s">
        <v>629</v>
      </c>
      <c r="C69" t="s">
        <v>635</v>
      </c>
      <c r="D69">
        <v>1</v>
      </c>
      <c r="E69" t="s">
        <v>631</v>
      </c>
      <c r="F69" t="s">
        <v>630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632</v>
      </c>
      <c r="M69" t="s">
        <v>633</v>
      </c>
    </row>
    <row r="70" spans="1:13" x14ac:dyDescent="0.3">
      <c r="A70" t="s">
        <v>708</v>
      </c>
      <c r="B70" t="s">
        <v>629</v>
      </c>
      <c r="C70" t="s">
        <v>635</v>
      </c>
      <c r="D70" t="s">
        <v>645</v>
      </c>
      <c r="E70" t="s">
        <v>640</v>
      </c>
      <c r="F70" t="s">
        <v>635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632</v>
      </c>
      <c r="M70" t="s">
        <v>633</v>
      </c>
    </row>
    <row r="71" spans="1:13" x14ac:dyDescent="0.3">
      <c r="A71" t="s">
        <v>709</v>
      </c>
      <c r="B71" t="s">
        <v>657</v>
      </c>
      <c r="C71" t="s">
        <v>630</v>
      </c>
      <c r="D71">
        <v>0</v>
      </c>
      <c r="E71" t="s">
        <v>631</v>
      </c>
      <c r="F71" t="s">
        <v>630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646</v>
      </c>
      <c r="M71" t="s">
        <v>637</v>
      </c>
    </row>
    <row r="72" spans="1:13" x14ac:dyDescent="0.3">
      <c r="A72" t="s">
        <v>710</v>
      </c>
      <c r="B72" t="s">
        <v>629</v>
      </c>
      <c r="C72" t="s">
        <v>635</v>
      </c>
      <c r="D72">
        <v>0</v>
      </c>
      <c r="E72" t="s">
        <v>631</v>
      </c>
      <c r="F72" t="s">
        <v>630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632</v>
      </c>
      <c r="M72" t="s">
        <v>633</v>
      </c>
    </row>
    <row r="73" spans="1:13" x14ac:dyDescent="0.3">
      <c r="A73" t="s">
        <v>711</v>
      </c>
      <c r="B73" t="s">
        <v>629</v>
      </c>
      <c r="C73" t="s">
        <v>635</v>
      </c>
      <c r="D73">
        <v>2</v>
      </c>
      <c r="E73" t="s">
        <v>640</v>
      </c>
      <c r="F73" t="s">
        <v>635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646</v>
      </c>
      <c r="M73" t="s">
        <v>633</v>
      </c>
    </row>
    <row r="74" spans="1:13" x14ac:dyDescent="0.3">
      <c r="A74" t="s">
        <v>712</v>
      </c>
      <c r="B74" t="s">
        <v>629</v>
      </c>
      <c r="C74" t="s">
        <v>630</v>
      </c>
      <c r="D74">
        <v>0</v>
      </c>
      <c r="E74" t="s">
        <v>631</v>
      </c>
      <c r="F74" t="s">
        <v>630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646</v>
      </c>
      <c r="M74" t="s">
        <v>633</v>
      </c>
    </row>
    <row r="75" spans="1:13" x14ac:dyDescent="0.3">
      <c r="A75" t="s">
        <v>713</v>
      </c>
      <c r="B75" t="s">
        <v>629</v>
      </c>
      <c r="C75" t="s">
        <v>635</v>
      </c>
      <c r="D75" t="s">
        <v>645</v>
      </c>
      <c r="E75" t="s">
        <v>640</v>
      </c>
      <c r="F75" t="s">
        <v>630</v>
      </c>
      <c r="G75">
        <v>4755</v>
      </c>
      <c r="H75">
        <v>0</v>
      </c>
      <c r="I75">
        <v>95</v>
      </c>
      <c r="K75">
        <v>0</v>
      </c>
      <c r="L75" t="s">
        <v>646</v>
      </c>
      <c r="M75" t="s">
        <v>637</v>
      </c>
    </row>
    <row r="76" spans="1:13" x14ac:dyDescent="0.3">
      <c r="A76" t="s">
        <v>714</v>
      </c>
      <c r="B76" t="s">
        <v>629</v>
      </c>
      <c r="C76" t="s">
        <v>635</v>
      </c>
      <c r="D76" t="s">
        <v>645</v>
      </c>
      <c r="E76" t="s">
        <v>631</v>
      </c>
      <c r="F76" t="s">
        <v>635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646</v>
      </c>
      <c r="M76" t="s">
        <v>633</v>
      </c>
    </row>
    <row r="77" spans="1:13" x14ac:dyDescent="0.3">
      <c r="A77" t="s">
        <v>715</v>
      </c>
      <c r="B77" t="s">
        <v>629</v>
      </c>
      <c r="C77" t="s">
        <v>630</v>
      </c>
      <c r="D77">
        <v>0</v>
      </c>
      <c r="E77" t="s">
        <v>631</v>
      </c>
      <c r="F77" t="s">
        <v>630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632</v>
      </c>
      <c r="M77" t="s">
        <v>637</v>
      </c>
    </row>
    <row r="78" spans="1:13" x14ac:dyDescent="0.3">
      <c r="A78" t="s">
        <v>716</v>
      </c>
      <c r="B78" t="s">
        <v>629</v>
      </c>
      <c r="C78" t="s">
        <v>630</v>
      </c>
      <c r="D78">
        <v>0</v>
      </c>
      <c r="E78" t="s">
        <v>631</v>
      </c>
      <c r="F78" t="s">
        <v>630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632</v>
      </c>
      <c r="M78" t="s">
        <v>637</v>
      </c>
    </row>
    <row r="79" spans="1:13" x14ac:dyDescent="0.3">
      <c r="A79" t="s">
        <v>717</v>
      </c>
      <c r="B79" t="s">
        <v>629</v>
      </c>
      <c r="C79" t="s">
        <v>635</v>
      </c>
      <c r="D79">
        <v>1</v>
      </c>
      <c r="E79" t="s">
        <v>631</v>
      </c>
      <c r="F79" t="s">
        <v>635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632</v>
      </c>
      <c r="M79" t="s">
        <v>637</v>
      </c>
    </row>
    <row r="80" spans="1:13" x14ac:dyDescent="0.3">
      <c r="A80" t="s">
        <v>718</v>
      </c>
      <c r="B80" t="s">
        <v>629</v>
      </c>
      <c r="C80" t="s">
        <v>635</v>
      </c>
      <c r="D80" t="s">
        <v>645</v>
      </c>
      <c r="E80" t="s">
        <v>631</v>
      </c>
      <c r="F80" t="s">
        <v>630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646</v>
      </c>
      <c r="M80" t="s">
        <v>637</v>
      </c>
    </row>
    <row r="81" spans="1:13" x14ac:dyDescent="0.3">
      <c r="A81" t="s">
        <v>719</v>
      </c>
      <c r="B81" t="s">
        <v>629</v>
      </c>
      <c r="C81" t="s">
        <v>635</v>
      </c>
      <c r="D81" t="s">
        <v>645</v>
      </c>
      <c r="E81" t="s">
        <v>640</v>
      </c>
      <c r="F81" t="s">
        <v>635</v>
      </c>
      <c r="G81">
        <v>3333</v>
      </c>
      <c r="H81">
        <v>2166</v>
      </c>
      <c r="I81">
        <v>130</v>
      </c>
      <c r="J81">
        <v>360</v>
      </c>
      <c r="L81" t="s">
        <v>646</v>
      </c>
      <c r="M81" t="s">
        <v>633</v>
      </c>
    </row>
    <row r="82" spans="1:13" x14ac:dyDescent="0.3">
      <c r="A82" t="s">
        <v>720</v>
      </c>
      <c r="B82" t="s">
        <v>657</v>
      </c>
      <c r="C82" t="s">
        <v>630</v>
      </c>
      <c r="D82">
        <v>0</v>
      </c>
      <c r="E82" t="s">
        <v>631</v>
      </c>
      <c r="F82" t="s">
        <v>630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646</v>
      </c>
      <c r="M82" t="s">
        <v>633</v>
      </c>
    </row>
    <row r="83" spans="1:13" x14ac:dyDescent="0.3">
      <c r="A83" t="s">
        <v>721</v>
      </c>
      <c r="B83" t="s">
        <v>629</v>
      </c>
      <c r="C83" t="s">
        <v>635</v>
      </c>
      <c r="D83">
        <v>1</v>
      </c>
      <c r="E83" t="s">
        <v>631</v>
      </c>
      <c r="F83" t="s">
        <v>635</v>
      </c>
      <c r="G83">
        <v>2395</v>
      </c>
      <c r="H83">
        <v>0</v>
      </c>
      <c r="J83">
        <v>360</v>
      </c>
      <c r="K83">
        <v>1</v>
      </c>
      <c r="L83" t="s">
        <v>646</v>
      </c>
      <c r="M83" t="s">
        <v>633</v>
      </c>
    </row>
    <row r="84" spans="1:13" x14ac:dyDescent="0.3">
      <c r="A84" t="s">
        <v>722</v>
      </c>
      <c r="B84" t="s">
        <v>657</v>
      </c>
      <c r="C84" t="s">
        <v>635</v>
      </c>
      <c r="D84">
        <v>2</v>
      </c>
      <c r="E84" t="s">
        <v>631</v>
      </c>
      <c r="F84" t="s">
        <v>630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632</v>
      </c>
      <c r="M84" t="s">
        <v>637</v>
      </c>
    </row>
    <row r="85" spans="1:13" x14ac:dyDescent="0.3">
      <c r="A85" t="s">
        <v>723</v>
      </c>
      <c r="B85" t="s">
        <v>629</v>
      </c>
      <c r="C85" t="s">
        <v>635</v>
      </c>
      <c r="D85">
        <v>0</v>
      </c>
      <c r="E85" t="s">
        <v>631</v>
      </c>
      <c r="F85" t="s">
        <v>630</v>
      </c>
      <c r="G85">
        <v>6000</v>
      </c>
      <c r="H85">
        <v>2250</v>
      </c>
      <c r="I85">
        <v>265</v>
      </c>
      <c r="J85">
        <v>360</v>
      </c>
      <c r="L85" t="s">
        <v>646</v>
      </c>
      <c r="M85" t="s">
        <v>637</v>
      </c>
    </row>
    <row r="86" spans="1:13" x14ac:dyDescent="0.3">
      <c r="A86" t="s">
        <v>724</v>
      </c>
      <c r="B86" t="s">
        <v>629</v>
      </c>
      <c r="C86" t="s">
        <v>635</v>
      </c>
      <c r="D86">
        <v>1</v>
      </c>
      <c r="E86" t="s">
        <v>631</v>
      </c>
      <c r="F86" t="s">
        <v>630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632</v>
      </c>
      <c r="M86" t="s">
        <v>633</v>
      </c>
    </row>
    <row r="87" spans="1:13" x14ac:dyDescent="0.3">
      <c r="A87" t="s">
        <v>725</v>
      </c>
      <c r="B87" t="s">
        <v>629</v>
      </c>
      <c r="C87" t="s">
        <v>630</v>
      </c>
      <c r="D87">
        <v>0</v>
      </c>
      <c r="E87" t="s">
        <v>631</v>
      </c>
      <c r="F87" t="s">
        <v>630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646</v>
      </c>
      <c r="M87" t="s">
        <v>633</v>
      </c>
    </row>
    <row r="88" spans="1:13" x14ac:dyDescent="0.3">
      <c r="A88" t="s">
        <v>726</v>
      </c>
      <c r="B88" t="s">
        <v>629</v>
      </c>
      <c r="C88" t="s">
        <v>635</v>
      </c>
      <c r="D88">
        <v>2</v>
      </c>
      <c r="E88" t="s">
        <v>640</v>
      </c>
      <c r="F88" t="s">
        <v>630</v>
      </c>
      <c r="G88">
        <v>3333</v>
      </c>
      <c r="H88">
        <v>2000</v>
      </c>
      <c r="I88">
        <v>99</v>
      </c>
      <c r="J88">
        <v>360</v>
      </c>
      <c r="L88" t="s">
        <v>646</v>
      </c>
      <c r="M88" t="s">
        <v>633</v>
      </c>
    </row>
    <row r="89" spans="1:13" x14ac:dyDescent="0.3">
      <c r="A89" t="s">
        <v>727</v>
      </c>
      <c r="B89" t="s">
        <v>629</v>
      </c>
      <c r="C89" t="s">
        <v>635</v>
      </c>
      <c r="D89">
        <v>0</v>
      </c>
      <c r="E89" t="s">
        <v>631</v>
      </c>
      <c r="F89" t="s">
        <v>630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646</v>
      </c>
      <c r="M89" t="s">
        <v>633</v>
      </c>
    </row>
    <row r="90" spans="1:13" x14ac:dyDescent="0.3">
      <c r="A90" t="s">
        <v>728</v>
      </c>
      <c r="B90" t="s">
        <v>629</v>
      </c>
      <c r="C90" t="s">
        <v>630</v>
      </c>
      <c r="D90">
        <v>0</v>
      </c>
      <c r="E90" t="s">
        <v>631</v>
      </c>
      <c r="F90" t="s">
        <v>630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632</v>
      </c>
      <c r="M90" t="s">
        <v>633</v>
      </c>
    </row>
    <row r="91" spans="1:13" x14ac:dyDescent="0.3">
      <c r="A91" t="s">
        <v>729</v>
      </c>
      <c r="B91" t="s">
        <v>629</v>
      </c>
      <c r="C91" t="s">
        <v>635</v>
      </c>
      <c r="D91">
        <v>0</v>
      </c>
      <c r="E91" t="s">
        <v>631</v>
      </c>
      <c r="F91" t="s">
        <v>630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646</v>
      </c>
      <c r="M91" t="s">
        <v>633</v>
      </c>
    </row>
    <row r="92" spans="1:13" x14ac:dyDescent="0.3">
      <c r="A92" t="s">
        <v>730</v>
      </c>
      <c r="B92" t="s">
        <v>629</v>
      </c>
      <c r="C92" t="s">
        <v>635</v>
      </c>
      <c r="D92">
        <v>0</v>
      </c>
      <c r="E92" t="s">
        <v>631</v>
      </c>
      <c r="F92" t="s">
        <v>630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646</v>
      </c>
      <c r="M92" t="s">
        <v>633</v>
      </c>
    </row>
    <row r="93" spans="1:13" x14ac:dyDescent="0.3">
      <c r="A93" t="s">
        <v>731</v>
      </c>
      <c r="B93" t="s">
        <v>629</v>
      </c>
      <c r="C93" t="s">
        <v>635</v>
      </c>
      <c r="D93">
        <v>2</v>
      </c>
      <c r="E93" t="s">
        <v>631</v>
      </c>
      <c r="F93" t="s">
        <v>630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646</v>
      </c>
      <c r="M93" t="s">
        <v>633</v>
      </c>
    </row>
    <row r="94" spans="1:13" x14ac:dyDescent="0.3">
      <c r="A94" t="s">
        <v>732</v>
      </c>
      <c r="B94" t="s">
        <v>629</v>
      </c>
      <c r="C94" t="s">
        <v>635</v>
      </c>
      <c r="D94">
        <v>2</v>
      </c>
      <c r="E94" t="s">
        <v>640</v>
      </c>
      <c r="F94" t="s">
        <v>630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632</v>
      </c>
      <c r="M94" t="s">
        <v>633</v>
      </c>
    </row>
    <row r="95" spans="1:13" x14ac:dyDescent="0.3">
      <c r="A95" t="s">
        <v>733</v>
      </c>
      <c r="B95" t="s">
        <v>629</v>
      </c>
      <c r="C95" t="s">
        <v>630</v>
      </c>
      <c r="D95">
        <v>0</v>
      </c>
      <c r="E95" t="s">
        <v>631</v>
      </c>
      <c r="F95" t="s">
        <v>630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646</v>
      </c>
      <c r="M95" t="s">
        <v>633</v>
      </c>
    </row>
    <row r="96" spans="1:13" x14ac:dyDescent="0.3">
      <c r="A96" t="s">
        <v>734</v>
      </c>
      <c r="B96" t="s">
        <v>629</v>
      </c>
      <c r="C96" t="s">
        <v>630</v>
      </c>
      <c r="D96">
        <v>0</v>
      </c>
      <c r="E96" t="s">
        <v>640</v>
      </c>
      <c r="F96" t="s">
        <v>630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646</v>
      </c>
      <c r="M96" t="s">
        <v>633</v>
      </c>
    </row>
    <row r="97" spans="1:13" x14ac:dyDescent="0.3">
      <c r="A97" t="s">
        <v>735</v>
      </c>
      <c r="B97" t="s">
        <v>629</v>
      </c>
      <c r="C97" t="s">
        <v>630</v>
      </c>
      <c r="D97">
        <v>0</v>
      </c>
      <c r="E97" t="s">
        <v>631</v>
      </c>
      <c r="G97">
        <v>6782</v>
      </c>
      <c r="H97">
        <v>0</v>
      </c>
      <c r="J97">
        <v>360</v>
      </c>
      <c r="L97" t="s">
        <v>632</v>
      </c>
      <c r="M97" t="s">
        <v>637</v>
      </c>
    </row>
    <row r="98" spans="1:13" x14ac:dyDescent="0.3">
      <c r="A98" t="s">
        <v>736</v>
      </c>
      <c r="B98" t="s">
        <v>657</v>
      </c>
      <c r="C98" t="s">
        <v>635</v>
      </c>
      <c r="D98">
        <v>0</v>
      </c>
      <c r="E98" t="s">
        <v>631</v>
      </c>
      <c r="F98" t="s">
        <v>630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646</v>
      </c>
      <c r="M98" t="s">
        <v>633</v>
      </c>
    </row>
    <row r="99" spans="1:13" x14ac:dyDescent="0.3">
      <c r="A99" t="s">
        <v>737</v>
      </c>
      <c r="B99" t="s">
        <v>629</v>
      </c>
      <c r="C99" t="s">
        <v>635</v>
      </c>
      <c r="D99">
        <v>0</v>
      </c>
      <c r="E99" t="s">
        <v>631</v>
      </c>
      <c r="F99" t="s">
        <v>630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646</v>
      </c>
      <c r="M99" t="s">
        <v>633</v>
      </c>
    </row>
    <row r="100" spans="1:13" x14ac:dyDescent="0.3">
      <c r="A100" t="s">
        <v>738</v>
      </c>
      <c r="B100" t="s">
        <v>629</v>
      </c>
      <c r="C100" t="s">
        <v>635</v>
      </c>
      <c r="D100">
        <v>0</v>
      </c>
      <c r="E100" t="s">
        <v>640</v>
      </c>
      <c r="F100" t="s">
        <v>630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646</v>
      </c>
      <c r="M100" t="s">
        <v>633</v>
      </c>
    </row>
    <row r="101" spans="1:13" x14ac:dyDescent="0.3">
      <c r="A101" t="s">
        <v>739</v>
      </c>
      <c r="B101" t="s">
        <v>629</v>
      </c>
      <c r="C101" t="s">
        <v>635</v>
      </c>
      <c r="D101">
        <v>0</v>
      </c>
      <c r="E101" t="s">
        <v>631</v>
      </c>
      <c r="F101" t="s">
        <v>630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646</v>
      </c>
      <c r="M101" t="s">
        <v>633</v>
      </c>
    </row>
    <row r="102" spans="1:13" x14ac:dyDescent="0.3">
      <c r="A102" t="s">
        <v>740</v>
      </c>
      <c r="B102" t="s">
        <v>629</v>
      </c>
      <c r="C102" t="s">
        <v>635</v>
      </c>
      <c r="D102">
        <v>2</v>
      </c>
      <c r="E102" t="s">
        <v>640</v>
      </c>
      <c r="F102" t="s">
        <v>630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632</v>
      </c>
      <c r="M102" t="s">
        <v>633</v>
      </c>
    </row>
    <row r="103" spans="1:13" x14ac:dyDescent="0.3">
      <c r="A103" t="s">
        <v>741</v>
      </c>
      <c r="B103" t="s">
        <v>629</v>
      </c>
      <c r="C103" t="s">
        <v>630</v>
      </c>
      <c r="D103">
        <v>0</v>
      </c>
      <c r="E103" t="s">
        <v>631</v>
      </c>
      <c r="F103" t="s">
        <v>630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646</v>
      </c>
      <c r="M103" t="s">
        <v>633</v>
      </c>
    </row>
    <row r="104" spans="1:13" x14ac:dyDescent="0.3">
      <c r="A104" t="s">
        <v>742</v>
      </c>
      <c r="B104" t="s">
        <v>629</v>
      </c>
      <c r="C104" t="s">
        <v>635</v>
      </c>
      <c r="E104" t="s">
        <v>631</v>
      </c>
      <c r="F104" t="s">
        <v>630</v>
      </c>
      <c r="G104">
        <v>13650</v>
      </c>
      <c r="H104">
        <v>0</v>
      </c>
      <c r="J104">
        <v>360</v>
      </c>
      <c r="K104">
        <v>1</v>
      </c>
      <c r="L104" t="s">
        <v>632</v>
      </c>
      <c r="M104" t="s">
        <v>633</v>
      </c>
    </row>
    <row r="105" spans="1:13" x14ac:dyDescent="0.3">
      <c r="A105" t="s">
        <v>743</v>
      </c>
      <c r="B105" t="s">
        <v>629</v>
      </c>
      <c r="C105" t="s">
        <v>635</v>
      </c>
      <c r="D105">
        <v>0</v>
      </c>
      <c r="E105" t="s">
        <v>631</v>
      </c>
      <c r="F105" t="s">
        <v>630</v>
      </c>
      <c r="G105">
        <v>4652</v>
      </c>
      <c r="H105">
        <v>3583</v>
      </c>
      <c r="J105">
        <v>360</v>
      </c>
      <c r="K105">
        <v>1</v>
      </c>
      <c r="L105" t="s">
        <v>646</v>
      </c>
      <c r="M105" t="s">
        <v>633</v>
      </c>
    </row>
    <row r="106" spans="1:13" x14ac:dyDescent="0.3">
      <c r="A106" t="s">
        <v>744</v>
      </c>
      <c r="B106" t="s">
        <v>629</v>
      </c>
      <c r="E106" t="s">
        <v>631</v>
      </c>
      <c r="F106" t="s">
        <v>630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632</v>
      </c>
      <c r="M106" t="s">
        <v>633</v>
      </c>
    </row>
    <row r="107" spans="1:13" x14ac:dyDescent="0.3">
      <c r="A107" t="s">
        <v>745</v>
      </c>
      <c r="B107" t="s">
        <v>629</v>
      </c>
      <c r="C107" t="s">
        <v>635</v>
      </c>
      <c r="D107">
        <v>1</v>
      </c>
      <c r="E107" t="s">
        <v>631</v>
      </c>
      <c r="F107" t="s">
        <v>630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632</v>
      </c>
      <c r="M107" t="s">
        <v>633</v>
      </c>
    </row>
    <row r="108" spans="1:13" x14ac:dyDescent="0.3">
      <c r="A108" t="s">
        <v>746</v>
      </c>
      <c r="B108" t="s">
        <v>629</v>
      </c>
      <c r="C108" t="s">
        <v>635</v>
      </c>
      <c r="D108">
        <v>2</v>
      </c>
      <c r="E108" t="s">
        <v>631</v>
      </c>
      <c r="F108" t="s">
        <v>630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632</v>
      </c>
      <c r="M108" t="s">
        <v>633</v>
      </c>
    </row>
    <row r="109" spans="1:13" x14ac:dyDescent="0.3">
      <c r="A109" t="s">
        <v>747</v>
      </c>
      <c r="B109" t="s">
        <v>629</v>
      </c>
      <c r="C109" t="s">
        <v>630</v>
      </c>
      <c r="D109">
        <v>0</v>
      </c>
      <c r="E109" t="s">
        <v>640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636</v>
      </c>
      <c r="M109" t="s">
        <v>637</v>
      </c>
    </row>
    <row r="110" spans="1:13" x14ac:dyDescent="0.3">
      <c r="A110" t="s">
        <v>748</v>
      </c>
      <c r="B110" t="s">
        <v>629</v>
      </c>
      <c r="C110" t="s">
        <v>635</v>
      </c>
      <c r="D110">
        <v>2</v>
      </c>
      <c r="E110" t="s">
        <v>631</v>
      </c>
      <c r="F110" t="s">
        <v>630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632</v>
      </c>
      <c r="M110" t="s">
        <v>637</v>
      </c>
    </row>
    <row r="111" spans="1:13" x14ac:dyDescent="0.3">
      <c r="A111" t="s">
        <v>749</v>
      </c>
      <c r="B111" t="s">
        <v>629</v>
      </c>
      <c r="C111" t="s">
        <v>635</v>
      </c>
      <c r="D111" t="s">
        <v>645</v>
      </c>
      <c r="E111" t="s">
        <v>640</v>
      </c>
      <c r="F111" t="s">
        <v>630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646</v>
      </c>
      <c r="M111" t="s">
        <v>633</v>
      </c>
    </row>
    <row r="112" spans="1:13" x14ac:dyDescent="0.3">
      <c r="A112" t="s">
        <v>750</v>
      </c>
      <c r="B112" t="s">
        <v>629</v>
      </c>
      <c r="C112" t="s">
        <v>630</v>
      </c>
      <c r="D112">
        <v>0</v>
      </c>
      <c r="E112" t="s">
        <v>631</v>
      </c>
      <c r="F112" t="s">
        <v>630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632</v>
      </c>
      <c r="M112" t="s">
        <v>633</v>
      </c>
    </row>
    <row r="113" spans="1:13" x14ac:dyDescent="0.3">
      <c r="A113" t="s">
        <v>751</v>
      </c>
      <c r="B113" t="s">
        <v>657</v>
      </c>
      <c r="C113" t="s">
        <v>635</v>
      </c>
      <c r="D113">
        <v>0</v>
      </c>
      <c r="E113" t="s">
        <v>631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646</v>
      </c>
      <c r="M113" t="s">
        <v>633</v>
      </c>
    </row>
    <row r="114" spans="1:13" x14ac:dyDescent="0.3">
      <c r="A114" t="s">
        <v>752</v>
      </c>
      <c r="B114" t="s">
        <v>629</v>
      </c>
      <c r="C114" t="s">
        <v>635</v>
      </c>
      <c r="D114">
        <v>0</v>
      </c>
      <c r="E114" t="s">
        <v>640</v>
      </c>
      <c r="F114" t="s">
        <v>630</v>
      </c>
      <c r="G114">
        <v>3572</v>
      </c>
      <c r="H114">
        <v>4114</v>
      </c>
      <c r="I114">
        <v>152</v>
      </c>
      <c r="K114">
        <v>0</v>
      </c>
      <c r="L114" t="s">
        <v>636</v>
      </c>
      <c r="M114" t="s">
        <v>637</v>
      </c>
    </row>
    <row r="115" spans="1:13" x14ac:dyDescent="0.3">
      <c r="A115" t="s">
        <v>753</v>
      </c>
      <c r="B115" t="s">
        <v>657</v>
      </c>
      <c r="C115" t="s">
        <v>630</v>
      </c>
      <c r="D115">
        <v>1</v>
      </c>
      <c r="E115" t="s">
        <v>631</v>
      </c>
      <c r="F115" t="s">
        <v>635</v>
      </c>
      <c r="G115">
        <v>7451</v>
      </c>
      <c r="H115">
        <v>0</v>
      </c>
      <c r="J115">
        <v>360</v>
      </c>
      <c r="K115">
        <v>1</v>
      </c>
      <c r="L115" t="s">
        <v>646</v>
      </c>
      <c r="M115" t="s">
        <v>633</v>
      </c>
    </row>
    <row r="116" spans="1:13" x14ac:dyDescent="0.3">
      <c r="A116" t="s">
        <v>754</v>
      </c>
      <c r="B116" t="s">
        <v>629</v>
      </c>
      <c r="C116" t="s">
        <v>630</v>
      </c>
      <c r="D116">
        <v>0</v>
      </c>
      <c r="E116" t="s">
        <v>631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646</v>
      </c>
      <c r="M116" t="s">
        <v>633</v>
      </c>
    </row>
    <row r="117" spans="1:13" x14ac:dyDescent="0.3">
      <c r="A117" t="s">
        <v>755</v>
      </c>
      <c r="B117" t="s">
        <v>629</v>
      </c>
      <c r="C117" t="s">
        <v>635</v>
      </c>
      <c r="D117">
        <v>1</v>
      </c>
      <c r="E117" t="s">
        <v>631</v>
      </c>
      <c r="F117" t="s">
        <v>630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636</v>
      </c>
      <c r="M117" t="s">
        <v>633</v>
      </c>
    </row>
    <row r="118" spans="1:13" x14ac:dyDescent="0.3">
      <c r="A118" t="s">
        <v>756</v>
      </c>
      <c r="B118" t="s">
        <v>657</v>
      </c>
      <c r="C118" t="s">
        <v>635</v>
      </c>
      <c r="D118">
        <v>0</v>
      </c>
      <c r="E118" t="s">
        <v>631</v>
      </c>
      <c r="F118" t="s">
        <v>630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646</v>
      </c>
      <c r="M118" t="s">
        <v>633</v>
      </c>
    </row>
    <row r="119" spans="1:13" x14ac:dyDescent="0.3">
      <c r="A119" t="s">
        <v>757</v>
      </c>
      <c r="B119" t="s">
        <v>629</v>
      </c>
      <c r="C119" t="s">
        <v>635</v>
      </c>
      <c r="D119">
        <v>1</v>
      </c>
      <c r="E119" t="s">
        <v>631</v>
      </c>
      <c r="F119" t="s">
        <v>630</v>
      </c>
      <c r="G119">
        <v>2214</v>
      </c>
      <c r="H119">
        <v>1398</v>
      </c>
      <c r="I119">
        <v>85</v>
      </c>
      <c r="J119">
        <v>360</v>
      </c>
      <c r="L119" t="s">
        <v>632</v>
      </c>
      <c r="M119" t="s">
        <v>633</v>
      </c>
    </row>
    <row r="120" spans="1:13" x14ac:dyDescent="0.3">
      <c r="A120" t="s">
        <v>758</v>
      </c>
      <c r="B120" t="s">
        <v>629</v>
      </c>
      <c r="C120" t="s">
        <v>635</v>
      </c>
      <c r="D120">
        <v>0</v>
      </c>
      <c r="E120" t="s">
        <v>631</v>
      </c>
      <c r="F120" t="s">
        <v>630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636</v>
      </c>
      <c r="M120" t="s">
        <v>637</v>
      </c>
    </row>
    <row r="121" spans="1:13" x14ac:dyDescent="0.3">
      <c r="A121" t="s">
        <v>759</v>
      </c>
      <c r="B121" t="s">
        <v>657</v>
      </c>
      <c r="C121" t="s">
        <v>630</v>
      </c>
      <c r="D121">
        <v>0</v>
      </c>
      <c r="E121" t="s">
        <v>631</v>
      </c>
      <c r="F121" t="s">
        <v>630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632</v>
      </c>
      <c r="M121" t="s">
        <v>633</v>
      </c>
    </row>
    <row r="122" spans="1:13" x14ac:dyDescent="0.3">
      <c r="A122" t="s">
        <v>760</v>
      </c>
      <c r="B122" t="s">
        <v>629</v>
      </c>
      <c r="C122" t="s">
        <v>635</v>
      </c>
      <c r="E122" t="s">
        <v>631</v>
      </c>
      <c r="F122" t="s">
        <v>630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636</v>
      </c>
      <c r="M122" t="s">
        <v>633</v>
      </c>
    </row>
    <row r="123" spans="1:13" x14ac:dyDescent="0.3">
      <c r="A123" t="s">
        <v>761</v>
      </c>
      <c r="B123" t="s">
        <v>657</v>
      </c>
      <c r="C123" t="s">
        <v>630</v>
      </c>
      <c r="D123">
        <v>0</v>
      </c>
      <c r="E123" t="s">
        <v>631</v>
      </c>
      <c r="F123" t="s">
        <v>630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646</v>
      </c>
      <c r="M123" t="s">
        <v>633</v>
      </c>
    </row>
    <row r="124" spans="1:13" x14ac:dyDescent="0.3">
      <c r="A124" t="s">
        <v>762</v>
      </c>
      <c r="B124" t="s">
        <v>657</v>
      </c>
      <c r="C124" t="s">
        <v>630</v>
      </c>
      <c r="D124">
        <v>0</v>
      </c>
      <c r="E124" t="s">
        <v>631</v>
      </c>
      <c r="F124" t="s">
        <v>630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646</v>
      </c>
      <c r="M124" t="s">
        <v>633</v>
      </c>
    </row>
    <row r="125" spans="1:13" x14ac:dyDescent="0.3">
      <c r="A125" t="s">
        <v>763</v>
      </c>
      <c r="B125" t="s">
        <v>629</v>
      </c>
      <c r="C125" t="s">
        <v>635</v>
      </c>
      <c r="D125">
        <v>2</v>
      </c>
      <c r="E125" t="s">
        <v>631</v>
      </c>
      <c r="F125" t="s">
        <v>630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646</v>
      </c>
      <c r="M125" t="s">
        <v>633</v>
      </c>
    </row>
    <row r="126" spans="1:13" x14ac:dyDescent="0.3">
      <c r="A126" t="s">
        <v>764</v>
      </c>
      <c r="B126" t="s">
        <v>629</v>
      </c>
      <c r="C126" t="s">
        <v>635</v>
      </c>
      <c r="D126">
        <v>0</v>
      </c>
      <c r="E126" t="s">
        <v>640</v>
      </c>
      <c r="F126" t="s">
        <v>630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636</v>
      </c>
      <c r="M126" t="s">
        <v>633</v>
      </c>
    </row>
    <row r="127" spans="1:13" x14ac:dyDescent="0.3">
      <c r="A127" t="s">
        <v>765</v>
      </c>
      <c r="B127" t="s">
        <v>657</v>
      </c>
      <c r="C127" t="s">
        <v>630</v>
      </c>
      <c r="D127">
        <v>0</v>
      </c>
      <c r="E127" t="s">
        <v>631</v>
      </c>
      <c r="F127" t="s">
        <v>630</v>
      </c>
      <c r="G127">
        <v>3692</v>
      </c>
      <c r="H127">
        <v>0</v>
      </c>
      <c r="I127">
        <v>93</v>
      </c>
      <c r="J127">
        <v>360</v>
      </c>
      <c r="L127" t="s">
        <v>636</v>
      </c>
      <c r="M127" t="s">
        <v>633</v>
      </c>
    </row>
    <row r="128" spans="1:13" x14ac:dyDescent="0.3">
      <c r="A128" t="s">
        <v>766</v>
      </c>
      <c r="C128" t="s">
        <v>635</v>
      </c>
      <c r="D128" t="s">
        <v>645</v>
      </c>
      <c r="E128" t="s">
        <v>631</v>
      </c>
      <c r="F128" t="s">
        <v>630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636</v>
      </c>
      <c r="M128" t="s">
        <v>633</v>
      </c>
    </row>
    <row r="129" spans="1:13" x14ac:dyDescent="0.3">
      <c r="A129" t="s">
        <v>767</v>
      </c>
      <c r="B129" t="s">
        <v>629</v>
      </c>
      <c r="C129" t="s">
        <v>630</v>
      </c>
      <c r="D129">
        <v>0</v>
      </c>
      <c r="E129" t="s">
        <v>631</v>
      </c>
      <c r="F129" t="s">
        <v>630</v>
      </c>
      <c r="G129">
        <v>3865</v>
      </c>
      <c r="H129">
        <v>1640</v>
      </c>
      <c r="J129">
        <v>360</v>
      </c>
      <c r="K129">
        <v>1</v>
      </c>
      <c r="L129" t="s">
        <v>636</v>
      </c>
      <c r="M129" t="s">
        <v>633</v>
      </c>
    </row>
    <row r="130" spans="1:13" x14ac:dyDescent="0.3">
      <c r="A130" t="s">
        <v>768</v>
      </c>
      <c r="B130" t="s">
        <v>629</v>
      </c>
      <c r="C130" t="s">
        <v>635</v>
      </c>
      <c r="D130">
        <v>1</v>
      </c>
      <c r="E130" t="s">
        <v>631</v>
      </c>
      <c r="F130" t="s">
        <v>635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632</v>
      </c>
      <c r="M130" t="s">
        <v>637</v>
      </c>
    </row>
    <row r="131" spans="1:13" x14ac:dyDescent="0.3">
      <c r="A131" t="s">
        <v>769</v>
      </c>
      <c r="B131" t="s">
        <v>629</v>
      </c>
      <c r="C131" t="s">
        <v>635</v>
      </c>
      <c r="D131">
        <v>0</v>
      </c>
      <c r="E131" t="s">
        <v>631</v>
      </c>
      <c r="F131" t="s">
        <v>630</v>
      </c>
      <c r="G131">
        <v>6080</v>
      </c>
      <c r="H131">
        <v>2569</v>
      </c>
      <c r="I131">
        <v>182</v>
      </c>
      <c r="J131">
        <v>360</v>
      </c>
      <c r="L131" t="s">
        <v>636</v>
      </c>
      <c r="M131" t="s">
        <v>637</v>
      </c>
    </row>
    <row r="132" spans="1:13" x14ac:dyDescent="0.3">
      <c r="A132" t="s">
        <v>770</v>
      </c>
      <c r="B132" t="s">
        <v>629</v>
      </c>
      <c r="C132" t="s">
        <v>630</v>
      </c>
      <c r="D132">
        <v>0</v>
      </c>
      <c r="E132" t="s">
        <v>631</v>
      </c>
      <c r="F132" t="s">
        <v>635</v>
      </c>
      <c r="G132">
        <v>20166</v>
      </c>
      <c r="H132">
        <v>0</v>
      </c>
      <c r="I132">
        <v>650</v>
      </c>
      <c r="J132">
        <v>480</v>
      </c>
      <c r="L132" t="s">
        <v>632</v>
      </c>
      <c r="M132" t="s">
        <v>633</v>
      </c>
    </row>
    <row r="133" spans="1:13" x14ac:dyDescent="0.3">
      <c r="A133" t="s">
        <v>771</v>
      </c>
      <c r="B133" t="s">
        <v>629</v>
      </c>
      <c r="C133" t="s">
        <v>630</v>
      </c>
      <c r="D133">
        <v>0</v>
      </c>
      <c r="E133" t="s">
        <v>631</v>
      </c>
      <c r="F133" t="s">
        <v>630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632</v>
      </c>
      <c r="M133" t="s">
        <v>633</v>
      </c>
    </row>
    <row r="134" spans="1:13" x14ac:dyDescent="0.3">
      <c r="A134" t="s">
        <v>772</v>
      </c>
      <c r="B134" t="s">
        <v>629</v>
      </c>
      <c r="C134" t="s">
        <v>630</v>
      </c>
      <c r="D134">
        <v>0</v>
      </c>
      <c r="E134" t="s">
        <v>631</v>
      </c>
      <c r="F134" t="s">
        <v>630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646</v>
      </c>
      <c r="M134" t="s">
        <v>633</v>
      </c>
    </row>
    <row r="135" spans="1:13" x14ac:dyDescent="0.3">
      <c r="A135" t="s">
        <v>773</v>
      </c>
      <c r="B135" t="s">
        <v>629</v>
      </c>
      <c r="C135" t="s">
        <v>635</v>
      </c>
      <c r="D135">
        <v>0</v>
      </c>
      <c r="E135" t="s">
        <v>631</v>
      </c>
      <c r="F135" t="s">
        <v>635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646</v>
      </c>
      <c r="M135" t="s">
        <v>633</v>
      </c>
    </row>
    <row r="136" spans="1:13" x14ac:dyDescent="0.3">
      <c r="A136" t="s">
        <v>774</v>
      </c>
      <c r="B136" t="s">
        <v>629</v>
      </c>
      <c r="C136" t="s">
        <v>630</v>
      </c>
      <c r="D136">
        <v>0</v>
      </c>
      <c r="E136" t="s">
        <v>631</v>
      </c>
      <c r="F136" t="s">
        <v>630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646</v>
      </c>
      <c r="M136" t="s">
        <v>633</v>
      </c>
    </row>
    <row r="137" spans="1:13" x14ac:dyDescent="0.3">
      <c r="A137" t="s">
        <v>775</v>
      </c>
      <c r="B137" t="s">
        <v>629</v>
      </c>
      <c r="C137" t="s">
        <v>635</v>
      </c>
      <c r="D137" t="s">
        <v>645</v>
      </c>
      <c r="E137" t="s">
        <v>631</v>
      </c>
      <c r="F137" t="s">
        <v>630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646</v>
      </c>
      <c r="M137" t="s">
        <v>637</v>
      </c>
    </row>
    <row r="138" spans="1:13" x14ac:dyDescent="0.3">
      <c r="A138" t="s">
        <v>776</v>
      </c>
      <c r="B138" t="s">
        <v>657</v>
      </c>
      <c r="C138" t="s">
        <v>635</v>
      </c>
      <c r="D138">
        <v>0</v>
      </c>
      <c r="E138" t="s">
        <v>631</v>
      </c>
      <c r="F138" t="s">
        <v>630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636</v>
      </c>
      <c r="M138" t="s">
        <v>637</v>
      </c>
    </row>
    <row r="139" spans="1:13" x14ac:dyDescent="0.3">
      <c r="A139" t="s">
        <v>777</v>
      </c>
      <c r="B139" t="s">
        <v>629</v>
      </c>
      <c r="C139" t="s">
        <v>635</v>
      </c>
      <c r="D139">
        <v>2</v>
      </c>
      <c r="E139" t="s">
        <v>631</v>
      </c>
      <c r="F139" t="s">
        <v>635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632</v>
      </c>
      <c r="M139" t="s">
        <v>633</v>
      </c>
    </row>
    <row r="140" spans="1:13" x14ac:dyDescent="0.3">
      <c r="A140" t="s">
        <v>778</v>
      </c>
      <c r="B140" t="s">
        <v>629</v>
      </c>
      <c r="C140" t="s">
        <v>630</v>
      </c>
      <c r="D140">
        <v>0</v>
      </c>
      <c r="E140" t="s">
        <v>631</v>
      </c>
      <c r="F140" t="s">
        <v>630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646</v>
      </c>
      <c r="M140" t="s">
        <v>637</v>
      </c>
    </row>
    <row r="141" spans="1:13" x14ac:dyDescent="0.3">
      <c r="A141" t="s">
        <v>779</v>
      </c>
      <c r="B141" t="s">
        <v>629</v>
      </c>
      <c r="C141" t="s">
        <v>635</v>
      </c>
      <c r="D141">
        <v>2</v>
      </c>
      <c r="E141" t="s">
        <v>640</v>
      </c>
      <c r="F141" t="s">
        <v>630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636</v>
      </c>
      <c r="M141" t="s">
        <v>637</v>
      </c>
    </row>
    <row r="142" spans="1:13" x14ac:dyDescent="0.3">
      <c r="A142" t="s">
        <v>780</v>
      </c>
      <c r="B142" t="s">
        <v>629</v>
      </c>
      <c r="C142" t="s">
        <v>635</v>
      </c>
      <c r="D142">
        <v>2</v>
      </c>
      <c r="E142" t="s">
        <v>631</v>
      </c>
      <c r="F142" t="s">
        <v>630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636</v>
      </c>
      <c r="M142" t="s">
        <v>637</v>
      </c>
    </row>
    <row r="143" spans="1:13" x14ac:dyDescent="0.3">
      <c r="A143" t="s">
        <v>781</v>
      </c>
      <c r="B143" t="s">
        <v>629</v>
      </c>
      <c r="C143" t="s">
        <v>630</v>
      </c>
      <c r="D143">
        <v>0</v>
      </c>
      <c r="E143" t="s">
        <v>631</v>
      </c>
      <c r="F143" t="s">
        <v>630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632</v>
      </c>
      <c r="M143" t="s">
        <v>633</v>
      </c>
    </row>
    <row r="144" spans="1:13" x14ac:dyDescent="0.3">
      <c r="A144" t="s">
        <v>782</v>
      </c>
      <c r="B144" t="s">
        <v>629</v>
      </c>
      <c r="C144" t="s">
        <v>630</v>
      </c>
      <c r="D144">
        <v>0</v>
      </c>
      <c r="E144" t="s">
        <v>631</v>
      </c>
      <c r="F144" t="s">
        <v>635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646</v>
      </c>
      <c r="M144" t="s">
        <v>633</v>
      </c>
    </row>
    <row r="145" spans="1:13" x14ac:dyDescent="0.3">
      <c r="A145" t="s">
        <v>783</v>
      </c>
      <c r="B145" t="s">
        <v>629</v>
      </c>
      <c r="C145" t="s">
        <v>635</v>
      </c>
      <c r="D145">
        <v>0</v>
      </c>
      <c r="E145" t="s">
        <v>631</v>
      </c>
      <c r="F145" t="s">
        <v>630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646</v>
      </c>
      <c r="M145" t="s">
        <v>633</v>
      </c>
    </row>
    <row r="146" spans="1:13" x14ac:dyDescent="0.3">
      <c r="A146" t="s">
        <v>784</v>
      </c>
      <c r="B146" t="s">
        <v>629</v>
      </c>
      <c r="C146" t="s">
        <v>635</v>
      </c>
      <c r="D146">
        <v>2</v>
      </c>
      <c r="E146" t="s">
        <v>631</v>
      </c>
      <c r="F146" t="s">
        <v>630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632</v>
      </c>
      <c r="M146" t="s">
        <v>633</v>
      </c>
    </row>
    <row r="147" spans="1:13" x14ac:dyDescent="0.3">
      <c r="A147" t="s">
        <v>785</v>
      </c>
      <c r="B147" t="s">
        <v>657</v>
      </c>
      <c r="C147" t="s">
        <v>635</v>
      </c>
      <c r="D147">
        <v>0</v>
      </c>
      <c r="E147" t="s">
        <v>631</v>
      </c>
      <c r="F147" t="s">
        <v>630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646</v>
      </c>
      <c r="M147" t="s">
        <v>633</v>
      </c>
    </row>
    <row r="148" spans="1:13" x14ac:dyDescent="0.3">
      <c r="A148" t="s">
        <v>786</v>
      </c>
      <c r="B148" t="s">
        <v>657</v>
      </c>
      <c r="C148" t="s">
        <v>635</v>
      </c>
      <c r="D148">
        <v>2</v>
      </c>
      <c r="E148" t="s">
        <v>631</v>
      </c>
      <c r="F148" t="s">
        <v>630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632</v>
      </c>
      <c r="M148" t="s">
        <v>633</v>
      </c>
    </row>
    <row r="149" spans="1:13" x14ac:dyDescent="0.3">
      <c r="A149" t="s">
        <v>787</v>
      </c>
      <c r="B149" t="s">
        <v>629</v>
      </c>
      <c r="C149" t="s">
        <v>635</v>
      </c>
      <c r="D149">
        <v>1</v>
      </c>
      <c r="E149" t="s">
        <v>631</v>
      </c>
      <c r="F149" t="s">
        <v>630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632</v>
      </c>
      <c r="M149" t="s">
        <v>633</v>
      </c>
    </row>
    <row r="150" spans="1:13" x14ac:dyDescent="0.3">
      <c r="A150" t="s">
        <v>788</v>
      </c>
      <c r="B150" t="s">
        <v>657</v>
      </c>
      <c r="C150" t="s">
        <v>630</v>
      </c>
      <c r="D150">
        <v>0</v>
      </c>
      <c r="E150" t="s">
        <v>631</v>
      </c>
      <c r="F150" t="s">
        <v>630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636</v>
      </c>
      <c r="M150" t="s">
        <v>637</v>
      </c>
    </row>
    <row r="151" spans="1:13" x14ac:dyDescent="0.3">
      <c r="A151" t="s">
        <v>789</v>
      </c>
      <c r="B151" t="s">
        <v>629</v>
      </c>
      <c r="C151" t="s">
        <v>635</v>
      </c>
      <c r="D151">
        <v>0</v>
      </c>
      <c r="E151" t="s">
        <v>631</v>
      </c>
      <c r="F151" t="s">
        <v>630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646</v>
      </c>
      <c r="M151" t="s">
        <v>633</v>
      </c>
    </row>
    <row r="152" spans="1:13" x14ac:dyDescent="0.3">
      <c r="A152" t="s">
        <v>790</v>
      </c>
      <c r="B152" t="s">
        <v>629</v>
      </c>
      <c r="C152" t="s">
        <v>630</v>
      </c>
      <c r="D152">
        <v>0</v>
      </c>
      <c r="E152" t="s">
        <v>631</v>
      </c>
      <c r="F152" t="s">
        <v>630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636</v>
      </c>
      <c r="M152" t="s">
        <v>637</v>
      </c>
    </row>
    <row r="153" spans="1:13" x14ac:dyDescent="0.3">
      <c r="A153" t="s">
        <v>791</v>
      </c>
      <c r="B153" t="s">
        <v>629</v>
      </c>
      <c r="C153" t="s">
        <v>635</v>
      </c>
      <c r="D153">
        <v>0</v>
      </c>
      <c r="E153" t="s">
        <v>631</v>
      </c>
      <c r="F153" t="s">
        <v>635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636</v>
      </c>
      <c r="M153" t="s">
        <v>633</v>
      </c>
    </row>
    <row r="154" spans="1:13" x14ac:dyDescent="0.3">
      <c r="A154" t="s">
        <v>792</v>
      </c>
      <c r="B154" t="s">
        <v>629</v>
      </c>
      <c r="C154" t="s">
        <v>630</v>
      </c>
      <c r="D154">
        <v>0</v>
      </c>
      <c r="E154" t="s">
        <v>631</v>
      </c>
      <c r="F154" t="s">
        <v>630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632</v>
      </c>
      <c r="M154" t="s">
        <v>637</v>
      </c>
    </row>
    <row r="155" spans="1:13" x14ac:dyDescent="0.3">
      <c r="A155" t="s">
        <v>793</v>
      </c>
      <c r="B155" t="s">
        <v>629</v>
      </c>
      <c r="C155" t="s">
        <v>635</v>
      </c>
      <c r="D155">
        <v>2</v>
      </c>
      <c r="E155" t="s">
        <v>640</v>
      </c>
      <c r="F155" t="s">
        <v>630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636</v>
      </c>
      <c r="M155" t="s">
        <v>637</v>
      </c>
    </row>
    <row r="156" spans="1:13" x14ac:dyDescent="0.3">
      <c r="A156" t="s">
        <v>794</v>
      </c>
      <c r="B156" t="s">
        <v>629</v>
      </c>
      <c r="C156" t="s">
        <v>630</v>
      </c>
      <c r="D156">
        <v>0</v>
      </c>
      <c r="E156" t="s">
        <v>631</v>
      </c>
      <c r="F156" t="s">
        <v>630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632</v>
      </c>
      <c r="M156" t="s">
        <v>633</v>
      </c>
    </row>
    <row r="157" spans="1:13" x14ac:dyDescent="0.3">
      <c r="A157" t="s">
        <v>795</v>
      </c>
      <c r="B157" t="s">
        <v>629</v>
      </c>
      <c r="C157" t="s">
        <v>635</v>
      </c>
      <c r="D157" t="s">
        <v>645</v>
      </c>
      <c r="E157" t="s">
        <v>631</v>
      </c>
      <c r="F157" t="s">
        <v>630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646</v>
      </c>
      <c r="M157" t="s">
        <v>633</v>
      </c>
    </row>
    <row r="158" spans="1:13" x14ac:dyDescent="0.3">
      <c r="A158" t="s">
        <v>796</v>
      </c>
      <c r="B158" t="s">
        <v>629</v>
      </c>
      <c r="C158" t="s">
        <v>635</v>
      </c>
      <c r="D158">
        <v>1</v>
      </c>
      <c r="E158" t="s">
        <v>631</v>
      </c>
      <c r="F158" t="s">
        <v>630</v>
      </c>
      <c r="G158">
        <v>6000</v>
      </c>
      <c r="H158">
        <v>0</v>
      </c>
      <c r="I158">
        <v>160</v>
      </c>
      <c r="J158">
        <v>360</v>
      </c>
      <c r="L158" t="s">
        <v>636</v>
      </c>
      <c r="M158" t="s">
        <v>633</v>
      </c>
    </row>
    <row r="159" spans="1:13" x14ac:dyDescent="0.3">
      <c r="A159" t="s">
        <v>797</v>
      </c>
      <c r="B159" t="s">
        <v>629</v>
      </c>
      <c r="C159" t="s">
        <v>635</v>
      </c>
      <c r="D159">
        <v>1</v>
      </c>
      <c r="E159" t="s">
        <v>631</v>
      </c>
      <c r="F159" t="s">
        <v>630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632</v>
      </c>
      <c r="M159" t="s">
        <v>633</v>
      </c>
    </row>
    <row r="160" spans="1:13" x14ac:dyDescent="0.3">
      <c r="A160" t="s">
        <v>798</v>
      </c>
      <c r="B160" t="s">
        <v>629</v>
      </c>
      <c r="C160" t="s">
        <v>630</v>
      </c>
      <c r="D160">
        <v>0</v>
      </c>
      <c r="E160" t="s">
        <v>631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636</v>
      </c>
      <c r="M160" t="s">
        <v>633</v>
      </c>
    </row>
    <row r="161" spans="1:13" x14ac:dyDescent="0.3">
      <c r="A161" t="s">
        <v>799</v>
      </c>
      <c r="B161" t="s">
        <v>629</v>
      </c>
      <c r="C161" t="s">
        <v>635</v>
      </c>
      <c r="D161">
        <v>0</v>
      </c>
      <c r="E161" t="s">
        <v>631</v>
      </c>
      <c r="F161" t="s">
        <v>630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646</v>
      </c>
      <c r="M161" t="s">
        <v>633</v>
      </c>
    </row>
    <row r="162" spans="1:13" x14ac:dyDescent="0.3">
      <c r="A162" t="s">
        <v>800</v>
      </c>
      <c r="B162" t="s">
        <v>629</v>
      </c>
      <c r="C162" t="s">
        <v>635</v>
      </c>
      <c r="D162">
        <v>0</v>
      </c>
      <c r="E162" t="s">
        <v>640</v>
      </c>
      <c r="F162" t="s">
        <v>630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646</v>
      </c>
      <c r="M162" t="s">
        <v>633</v>
      </c>
    </row>
    <row r="163" spans="1:13" x14ac:dyDescent="0.3">
      <c r="A163" t="s">
        <v>801</v>
      </c>
      <c r="B163" t="s">
        <v>629</v>
      </c>
      <c r="C163" t="s">
        <v>635</v>
      </c>
      <c r="D163">
        <v>0</v>
      </c>
      <c r="E163" t="s">
        <v>631</v>
      </c>
      <c r="F163" t="s">
        <v>630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632</v>
      </c>
      <c r="M163" t="s">
        <v>637</v>
      </c>
    </row>
    <row r="164" spans="1:13" x14ac:dyDescent="0.3">
      <c r="A164" t="s">
        <v>802</v>
      </c>
      <c r="B164" t="s">
        <v>629</v>
      </c>
      <c r="C164" t="s">
        <v>635</v>
      </c>
      <c r="D164">
        <v>1</v>
      </c>
      <c r="E164" t="s">
        <v>631</v>
      </c>
      <c r="F164" t="s">
        <v>630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646</v>
      </c>
      <c r="M164" t="s">
        <v>637</v>
      </c>
    </row>
    <row r="165" spans="1:13" x14ac:dyDescent="0.3">
      <c r="A165" t="s">
        <v>803</v>
      </c>
      <c r="B165" t="s">
        <v>629</v>
      </c>
      <c r="C165" t="s">
        <v>635</v>
      </c>
      <c r="D165">
        <v>2</v>
      </c>
      <c r="E165" t="s">
        <v>631</v>
      </c>
      <c r="F165" t="s">
        <v>630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636</v>
      </c>
      <c r="M165" t="s">
        <v>633</v>
      </c>
    </row>
    <row r="166" spans="1:13" x14ac:dyDescent="0.3">
      <c r="A166" t="s">
        <v>804</v>
      </c>
      <c r="B166" t="s">
        <v>629</v>
      </c>
      <c r="C166" t="s">
        <v>635</v>
      </c>
      <c r="D166">
        <v>0</v>
      </c>
      <c r="E166" t="s">
        <v>631</v>
      </c>
      <c r="F166" t="s">
        <v>630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632</v>
      </c>
      <c r="M166" t="s">
        <v>633</v>
      </c>
    </row>
    <row r="167" spans="1:13" x14ac:dyDescent="0.3">
      <c r="A167" t="s">
        <v>805</v>
      </c>
      <c r="B167" t="s">
        <v>629</v>
      </c>
      <c r="C167" t="s">
        <v>635</v>
      </c>
      <c r="D167">
        <v>0</v>
      </c>
      <c r="E167" t="s">
        <v>631</v>
      </c>
      <c r="F167" t="s">
        <v>630</v>
      </c>
      <c r="G167">
        <v>3707</v>
      </c>
      <c r="H167">
        <v>3166</v>
      </c>
      <c r="I167">
        <v>182</v>
      </c>
      <c r="K167">
        <v>1</v>
      </c>
      <c r="L167" t="s">
        <v>636</v>
      </c>
      <c r="M167" t="s">
        <v>633</v>
      </c>
    </row>
    <row r="168" spans="1:13" x14ac:dyDescent="0.3">
      <c r="A168" t="s">
        <v>806</v>
      </c>
      <c r="B168" t="s">
        <v>657</v>
      </c>
      <c r="C168" t="s">
        <v>635</v>
      </c>
      <c r="D168">
        <v>0</v>
      </c>
      <c r="E168" t="s">
        <v>631</v>
      </c>
      <c r="F168" t="s">
        <v>630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636</v>
      </c>
      <c r="M168" t="s">
        <v>637</v>
      </c>
    </row>
    <row r="169" spans="1:13" x14ac:dyDescent="0.3">
      <c r="A169" t="s">
        <v>807</v>
      </c>
      <c r="B169" t="s">
        <v>629</v>
      </c>
      <c r="C169" t="s">
        <v>635</v>
      </c>
      <c r="D169">
        <v>0</v>
      </c>
      <c r="E169" t="s">
        <v>631</v>
      </c>
      <c r="F169" t="s">
        <v>630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636</v>
      </c>
      <c r="M169" t="s">
        <v>633</v>
      </c>
    </row>
    <row r="170" spans="1:13" x14ac:dyDescent="0.3">
      <c r="A170" t="s">
        <v>808</v>
      </c>
      <c r="B170" t="s">
        <v>629</v>
      </c>
      <c r="C170" t="s">
        <v>630</v>
      </c>
      <c r="D170">
        <v>0</v>
      </c>
      <c r="E170" t="s">
        <v>631</v>
      </c>
      <c r="F170" t="s">
        <v>630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646</v>
      </c>
      <c r="M170" t="s">
        <v>637</v>
      </c>
    </row>
    <row r="171" spans="1:13" x14ac:dyDescent="0.3">
      <c r="A171" t="s">
        <v>809</v>
      </c>
      <c r="B171" t="s">
        <v>629</v>
      </c>
      <c r="C171" t="s">
        <v>635</v>
      </c>
      <c r="D171">
        <v>2</v>
      </c>
      <c r="E171" t="s">
        <v>631</v>
      </c>
      <c r="F171" t="s">
        <v>630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646</v>
      </c>
      <c r="M171" t="s">
        <v>633</v>
      </c>
    </row>
    <row r="172" spans="1:13" x14ac:dyDescent="0.3">
      <c r="A172" t="s">
        <v>810</v>
      </c>
      <c r="B172" t="s">
        <v>629</v>
      </c>
      <c r="C172" t="s">
        <v>635</v>
      </c>
      <c r="D172">
        <v>0</v>
      </c>
      <c r="E172" t="s">
        <v>640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636</v>
      </c>
      <c r="M172" t="s">
        <v>633</v>
      </c>
    </row>
    <row r="173" spans="1:13" x14ac:dyDescent="0.3">
      <c r="A173" t="s">
        <v>811</v>
      </c>
      <c r="C173" t="s">
        <v>635</v>
      </c>
      <c r="D173" t="s">
        <v>645</v>
      </c>
      <c r="E173" t="s">
        <v>631</v>
      </c>
      <c r="F173" t="s">
        <v>630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632</v>
      </c>
      <c r="M173" t="s">
        <v>633</v>
      </c>
    </row>
    <row r="174" spans="1:13" x14ac:dyDescent="0.3">
      <c r="A174" t="s">
        <v>812</v>
      </c>
      <c r="B174" t="s">
        <v>629</v>
      </c>
      <c r="C174" t="s">
        <v>635</v>
      </c>
      <c r="D174" t="s">
        <v>645</v>
      </c>
      <c r="E174" t="s">
        <v>640</v>
      </c>
      <c r="F174" t="s">
        <v>630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636</v>
      </c>
      <c r="M174" t="s">
        <v>637</v>
      </c>
    </row>
    <row r="175" spans="1:13" x14ac:dyDescent="0.3">
      <c r="A175" t="s">
        <v>813</v>
      </c>
      <c r="B175" t="s">
        <v>629</v>
      </c>
      <c r="C175" t="s">
        <v>635</v>
      </c>
      <c r="D175">
        <v>0</v>
      </c>
      <c r="E175" t="s">
        <v>631</v>
      </c>
      <c r="F175" t="s">
        <v>630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646</v>
      </c>
      <c r="M175" t="s">
        <v>633</v>
      </c>
    </row>
    <row r="176" spans="1:13" x14ac:dyDescent="0.3">
      <c r="A176" t="s">
        <v>814</v>
      </c>
      <c r="B176" t="s">
        <v>629</v>
      </c>
      <c r="C176" t="s">
        <v>635</v>
      </c>
      <c r="D176">
        <v>0</v>
      </c>
      <c r="E176" t="s">
        <v>640</v>
      </c>
      <c r="F176" t="s">
        <v>635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646</v>
      </c>
      <c r="M176" t="s">
        <v>637</v>
      </c>
    </row>
    <row r="177" spans="1:13" x14ac:dyDescent="0.3">
      <c r="A177" t="s">
        <v>815</v>
      </c>
      <c r="B177" t="s">
        <v>629</v>
      </c>
      <c r="C177" t="s">
        <v>635</v>
      </c>
      <c r="D177">
        <v>0</v>
      </c>
      <c r="E177" t="s">
        <v>631</v>
      </c>
      <c r="F177" t="s">
        <v>630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636</v>
      </c>
      <c r="M177" t="s">
        <v>633</v>
      </c>
    </row>
    <row r="178" spans="1:13" x14ac:dyDescent="0.3">
      <c r="A178" t="s">
        <v>816</v>
      </c>
      <c r="B178" t="s">
        <v>629</v>
      </c>
      <c r="C178" t="s">
        <v>635</v>
      </c>
      <c r="D178">
        <v>2</v>
      </c>
      <c r="E178" t="s">
        <v>631</v>
      </c>
      <c r="F178" t="s">
        <v>630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636</v>
      </c>
      <c r="M178" t="s">
        <v>633</v>
      </c>
    </row>
    <row r="179" spans="1:13" x14ac:dyDescent="0.3">
      <c r="A179" t="s">
        <v>817</v>
      </c>
      <c r="B179" t="s">
        <v>629</v>
      </c>
      <c r="C179" t="s">
        <v>635</v>
      </c>
      <c r="D179" t="s">
        <v>645</v>
      </c>
      <c r="E179" t="s">
        <v>631</v>
      </c>
      <c r="F179" t="s">
        <v>630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646</v>
      </c>
      <c r="M179" t="s">
        <v>637</v>
      </c>
    </row>
    <row r="180" spans="1:13" x14ac:dyDescent="0.3">
      <c r="A180" t="s">
        <v>818</v>
      </c>
      <c r="B180" t="s">
        <v>629</v>
      </c>
      <c r="C180" t="s">
        <v>635</v>
      </c>
      <c r="D180">
        <v>1</v>
      </c>
      <c r="E180" t="s">
        <v>631</v>
      </c>
      <c r="F180" t="s">
        <v>630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646</v>
      </c>
      <c r="M180" t="s">
        <v>633</v>
      </c>
    </row>
    <row r="181" spans="1:13" x14ac:dyDescent="0.3">
      <c r="A181" t="s">
        <v>819</v>
      </c>
      <c r="B181" t="s">
        <v>629</v>
      </c>
      <c r="C181" t="s">
        <v>630</v>
      </c>
      <c r="D181">
        <v>0</v>
      </c>
      <c r="E181" t="s">
        <v>640</v>
      </c>
      <c r="F181" t="s">
        <v>630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632</v>
      </c>
      <c r="M181" t="s">
        <v>637</v>
      </c>
    </row>
    <row r="182" spans="1:13" x14ac:dyDescent="0.3">
      <c r="A182" t="s">
        <v>820</v>
      </c>
      <c r="B182" t="s">
        <v>629</v>
      </c>
      <c r="C182" t="s">
        <v>635</v>
      </c>
      <c r="D182">
        <v>1</v>
      </c>
      <c r="E182" t="s">
        <v>631</v>
      </c>
      <c r="F182" t="s">
        <v>630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632</v>
      </c>
      <c r="M182" t="s">
        <v>637</v>
      </c>
    </row>
    <row r="183" spans="1:13" x14ac:dyDescent="0.3">
      <c r="A183" t="s">
        <v>821</v>
      </c>
      <c r="B183" t="s">
        <v>629</v>
      </c>
      <c r="C183" t="s">
        <v>630</v>
      </c>
      <c r="D183">
        <v>0</v>
      </c>
      <c r="E183" t="s">
        <v>631</v>
      </c>
      <c r="F183" t="s">
        <v>630</v>
      </c>
      <c r="G183">
        <v>1916</v>
      </c>
      <c r="H183">
        <v>5063</v>
      </c>
      <c r="I183">
        <v>67</v>
      </c>
      <c r="J183">
        <v>360</v>
      </c>
      <c r="L183" t="s">
        <v>636</v>
      </c>
      <c r="M183" t="s">
        <v>637</v>
      </c>
    </row>
    <row r="184" spans="1:13" x14ac:dyDescent="0.3">
      <c r="A184" t="s">
        <v>822</v>
      </c>
      <c r="B184" t="s">
        <v>629</v>
      </c>
      <c r="C184" t="s">
        <v>635</v>
      </c>
      <c r="D184">
        <v>0</v>
      </c>
      <c r="E184" t="s">
        <v>631</v>
      </c>
      <c r="F184" t="s">
        <v>630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646</v>
      </c>
      <c r="M184" t="s">
        <v>633</v>
      </c>
    </row>
    <row r="185" spans="1:13" x14ac:dyDescent="0.3">
      <c r="A185" t="s">
        <v>823</v>
      </c>
      <c r="B185" t="s">
        <v>629</v>
      </c>
      <c r="C185" t="s">
        <v>635</v>
      </c>
      <c r="D185">
        <v>1</v>
      </c>
      <c r="E185" t="s">
        <v>631</v>
      </c>
      <c r="F185" t="s">
        <v>630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646</v>
      </c>
      <c r="M185" t="s">
        <v>637</v>
      </c>
    </row>
    <row r="186" spans="1:13" x14ac:dyDescent="0.3">
      <c r="A186" t="s">
        <v>824</v>
      </c>
      <c r="B186" t="s">
        <v>657</v>
      </c>
      <c r="C186" t="s">
        <v>635</v>
      </c>
      <c r="D186">
        <v>0</v>
      </c>
      <c r="E186" t="s">
        <v>631</v>
      </c>
      <c r="F186" t="s">
        <v>630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646</v>
      </c>
      <c r="M186" t="s">
        <v>633</v>
      </c>
    </row>
    <row r="187" spans="1:13" x14ac:dyDescent="0.3">
      <c r="A187" t="s">
        <v>825</v>
      </c>
      <c r="B187" t="s">
        <v>629</v>
      </c>
      <c r="C187" t="s">
        <v>635</v>
      </c>
      <c r="D187">
        <v>0</v>
      </c>
      <c r="E187" t="s">
        <v>631</v>
      </c>
      <c r="F187" t="s">
        <v>635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646</v>
      </c>
      <c r="M187" t="s">
        <v>633</v>
      </c>
    </row>
    <row r="188" spans="1:13" x14ac:dyDescent="0.3">
      <c r="A188" t="s">
        <v>826</v>
      </c>
      <c r="B188" t="s">
        <v>629</v>
      </c>
      <c r="C188" t="s">
        <v>635</v>
      </c>
      <c r="D188">
        <v>1</v>
      </c>
      <c r="E188" t="s">
        <v>631</v>
      </c>
      <c r="F188" t="s">
        <v>635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636</v>
      </c>
      <c r="M188" t="s">
        <v>637</v>
      </c>
    </row>
    <row r="189" spans="1:13" x14ac:dyDescent="0.3">
      <c r="A189" t="s">
        <v>827</v>
      </c>
      <c r="B189" t="s">
        <v>629</v>
      </c>
      <c r="C189" t="s">
        <v>635</v>
      </c>
      <c r="D189">
        <v>0</v>
      </c>
      <c r="E189" t="s">
        <v>631</v>
      </c>
      <c r="F189" t="s">
        <v>630</v>
      </c>
      <c r="G189">
        <v>2383</v>
      </c>
      <c r="H189">
        <v>2138</v>
      </c>
      <c r="I189">
        <v>58</v>
      </c>
      <c r="J189">
        <v>360</v>
      </c>
      <c r="L189" t="s">
        <v>636</v>
      </c>
      <c r="M189" t="s">
        <v>633</v>
      </c>
    </row>
    <row r="190" spans="1:13" x14ac:dyDescent="0.3">
      <c r="A190" t="s">
        <v>828</v>
      </c>
      <c r="C190" t="s">
        <v>635</v>
      </c>
      <c r="D190">
        <v>0</v>
      </c>
      <c r="E190" t="s">
        <v>631</v>
      </c>
      <c r="F190" t="s">
        <v>635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636</v>
      </c>
      <c r="M190" t="s">
        <v>633</v>
      </c>
    </row>
    <row r="191" spans="1:13" x14ac:dyDescent="0.3">
      <c r="A191" t="s">
        <v>829</v>
      </c>
      <c r="B191" t="s">
        <v>629</v>
      </c>
      <c r="C191" t="s">
        <v>635</v>
      </c>
      <c r="D191">
        <v>0</v>
      </c>
      <c r="E191" t="s">
        <v>631</v>
      </c>
      <c r="F191" t="s">
        <v>630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636</v>
      </c>
      <c r="M191" t="s">
        <v>633</v>
      </c>
    </row>
    <row r="192" spans="1:13" x14ac:dyDescent="0.3">
      <c r="A192" t="s">
        <v>830</v>
      </c>
      <c r="B192" t="s">
        <v>629</v>
      </c>
      <c r="C192" t="s">
        <v>630</v>
      </c>
      <c r="D192">
        <v>0</v>
      </c>
      <c r="E192" t="s">
        <v>640</v>
      </c>
      <c r="F192" t="s">
        <v>630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636</v>
      </c>
      <c r="M192" t="s">
        <v>633</v>
      </c>
    </row>
    <row r="193" spans="1:13" x14ac:dyDescent="0.3">
      <c r="A193" t="s">
        <v>831</v>
      </c>
      <c r="B193" t="s">
        <v>629</v>
      </c>
      <c r="C193" t="s">
        <v>630</v>
      </c>
      <c r="D193">
        <v>0</v>
      </c>
      <c r="E193" t="s">
        <v>631</v>
      </c>
      <c r="F193" t="s">
        <v>630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646</v>
      </c>
      <c r="M193" t="s">
        <v>637</v>
      </c>
    </row>
    <row r="194" spans="1:13" x14ac:dyDescent="0.3">
      <c r="A194" t="s">
        <v>832</v>
      </c>
      <c r="B194" t="s">
        <v>629</v>
      </c>
      <c r="C194" t="s">
        <v>635</v>
      </c>
      <c r="D194">
        <v>0</v>
      </c>
      <c r="E194" t="s">
        <v>640</v>
      </c>
      <c r="F194" t="s">
        <v>630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632</v>
      </c>
      <c r="M194" t="s">
        <v>637</v>
      </c>
    </row>
    <row r="195" spans="1:13" x14ac:dyDescent="0.3">
      <c r="A195" t="s">
        <v>833</v>
      </c>
      <c r="B195" t="s">
        <v>629</v>
      </c>
      <c r="C195" t="s">
        <v>630</v>
      </c>
      <c r="D195">
        <v>0</v>
      </c>
      <c r="E195" t="s">
        <v>631</v>
      </c>
      <c r="F195" t="s">
        <v>630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646</v>
      </c>
      <c r="M195" t="s">
        <v>633</v>
      </c>
    </row>
    <row r="196" spans="1:13" x14ac:dyDescent="0.3">
      <c r="A196" t="s">
        <v>834</v>
      </c>
      <c r="B196" t="s">
        <v>629</v>
      </c>
      <c r="C196" t="s">
        <v>630</v>
      </c>
      <c r="D196">
        <v>0</v>
      </c>
      <c r="E196" t="s">
        <v>631</v>
      </c>
      <c r="F196" t="s">
        <v>630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636</v>
      </c>
      <c r="M196" t="s">
        <v>633</v>
      </c>
    </row>
    <row r="197" spans="1:13" x14ac:dyDescent="0.3">
      <c r="A197" t="s">
        <v>835</v>
      </c>
      <c r="B197" t="s">
        <v>629</v>
      </c>
      <c r="C197" t="s">
        <v>635</v>
      </c>
      <c r="D197">
        <v>1</v>
      </c>
      <c r="E197" t="s">
        <v>631</v>
      </c>
      <c r="F197" t="s">
        <v>630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646</v>
      </c>
      <c r="M197" t="s">
        <v>637</v>
      </c>
    </row>
    <row r="198" spans="1:13" x14ac:dyDescent="0.3">
      <c r="A198" t="s">
        <v>836</v>
      </c>
      <c r="B198" t="s">
        <v>629</v>
      </c>
      <c r="C198" t="s">
        <v>630</v>
      </c>
      <c r="D198">
        <v>0</v>
      </c>
      <c r="E198" t="s">
        <v>631</v>
      </c>
      <c r="F198" t="s">
        <v>630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636</v>
      </c>
      <c r="M198" t="s">
        <v>633</v>
      </c>
    </row>
    <row r="199" spans="1:13" x14ac:dyDescent="0.3">
      <c r="A199" t="s">
        <v>837</v>
      </c>
      <c r="B199" t="s">
        <v>657</v>
      </c>
      <c r="C199" t="s">
        <v>630</v>
      </c>
      <c r="D199">
        <v>0</v>
      </c>
      <c r="E199" t="s">
        <v>640</v>
      </c>
      <c r="F199" t="s">
        <v>630</v>
      </c>
      <c r="G199">
        <v>1907</v>
      </c>
      <c r="H199">
        <v>2365</v>
      </c>
      <c r="I199">
        <v>120</v>
      </c>
      <c r="K199">
        <v>1</v>
      </c>
      <c r="L199" t="s">
        <v>632</v>
      </c>
      <c r="M199" t="s">
        <v>633</v>
      </c>
    </row>
    <row r="200" spans="1:13" x14ac:dyDescent="0.3">
      <c r="A200" t="s">
        <v>838</v>
      </c>
      <c r="B200" t="s">
        <v>657</v>
      </c>
      <c r="C200" t="s">
        <v>635</v>
      </c>
      <c r="D200">
        <v>0</v>
      </c>
      <c r="E200" t="s">
        <v>631</v>
      </c>
      <c r="F200" t="s">
        <v>630</v>
      </c>
      <c r="G200">
        <v>3416</v>
      </c>
      <c r="H200">
        <v>2816</v>
      </c>
      <c r="I200">
        <v>113</v>
      </c>
      <c r="J200">
        <v>360</v>
      </c>
      <c r="L200" t="s">
        <v>646</v>
      </c>
      <c r="M200" t="s">
        <v>633</v>
      </c>
    </row>
    <row r="201" spans="1:13" x14ac:dyDescent="0.3">
      <c r="A201" t="s">
        <v>839</v>
      </c>
      <c r="B201" t="s">
        <v>629</v>
      </c>
      <c r="C201" t="s">
        <v>630</v>
      </c>
      <c r="D201">
        <v>0</v>
      </c>
      <c r="E201" t="s">
        <v>631</v>
      </c>
      <c r="F201" t="s">
        <v>635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632</v>
      </c>
      <c r="M201" t="s">
        <v>637</v>
      </c>
    </row>
    <row r="202" spans="1:13" x14ac:dyDescent="0.3">
      <c r="A202" t="s">
        <v>840</v>
      </c>
      <c r="B202" t="s">
        <v>629</v>
      </c>
      <c r="C202" t="s">
        <v>635</v>
      </c>
      <c r="D202">
        <v>1</v>
      </c>
      <c r="E202" t="s">
        <v>640</v>
      </c>
      <c r="F202" t="s">
        <v>630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646</v>
      </c>
      <c r="M202" t="s">
        <v>633</v>
      </c>
    </row>
    <row r="203" spans="1:13" x14ac:dyDescent="0.3">
      <c r="A203" t="s">
        <v>841</v>
      </c>
      <c r="B203" t="s">
        <v>629</v>
      </c>
      <c r="C203" t="s">
        <v>630</v>
      </c>
      <c r="D203">
        <v>2</v>
      </c>
      <c r="E203" t="s">
        <v>631</v>
      </c>
      <c r="F203" t="s">
        <v>630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646</v>
      </c>
      <c r="M203" t="s">
        <v>633</v>
      </c>
    </row>
    <row r="204" spans="1:13" x14ac:dyDescent="0.3">
      <c r="A204" t="s">
        <v>842</v>
      </c>
      <c r="B204" t="s">
        <v>629</v>
      </c>
      <c r="C204" t="s">
        <v>635</v>
      </c>
      <c r="D204" t="s">
        <v>645</v>
      </c>
      <c r="E204" t="s">
        <v>640</v>
      </c>
      <c r="F204" t="s">
        <v>630</v>
      </c>
      <c r="G204">
        <v>3992</v>
      </c>
      <c r="H204">
        <v>0</v>
      </c>
      <c r="J204">
        <v>180</v>
      </c>
      <c r="K204">
        <v>1</v>
      </c>
      <c r="L204" t="s">
        <v>632</v>
      </c>
      <c r="M204" t="s">
        <v>637</v>
      </c>
    </row>
    <row r="205" spans="1:13" x14ac:dyDescent="0.3">
      <c r="A205" t="s">
        <v>843</v>
      </c>
      <c r="B205" t="s">
        <v>629</v>
      </c>
      <c r="C205" t="s">
        <v>635</v>
      </c>
      <c r="D205">
        <v>1</v>
      </c>
      <c r="E205" t="s">
        <v>640</v>
      </c>
      <c r="F205" t="s">
        <v>630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632</v>
      </c>
      <c r="M205" t="s">
        <v>633</v>
      </c>
    </row>
    <row r="206" spans="1:13" x14ac:dyDescent="0.3">
      <c r="A206" t="s">
        <v>844</v>
      </c>
      <c r="B206" t="s">
        <v>629</v>
      </c>
      <c r="C206" t="s">
        <v>635</v>
      </c>
      <c r="D206">
        <v>2</v>
      </c>
      <c r="E206" t="s">
        <v>640</v>
      </c>
      <c r="F206" t="s">
        <v>630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646</v>
      </c>
      <c r="M206" t="s">
        <v>633</v>
      </c>
    </row>
    <row r="207" spans="1:13" x14ac:dyDescent="0.3">
      <c r="A207" t="s">
        <v>845</v>
      </c>
      <c r="B207" t="s">
        <v>657</v>
      </c>
      <c r="C207" t="s">
        <v>630</v>
      </c>
      <c r="D207">
        <v>0</v>
      </c>
      <c r="E207" t="s">
        <v>640</v>
      </c>
      <c r="F207" t="s">
        <v>630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646</v>
      </c>
      <c r="M207" t="s">
        <v>633</v>
      </c>
    </row>
    <row r="208" spans="1:13" x14ac:dyDescent="0.3">
      <c r="A208" t="s">
        <v>846</v>
      </c>
      <c r="B208" t="s">
        <v>657</v>
      </c>
      <c r="C208" t="s">
        <v>630</v>
      </c>
      <c r="D208">
        <v>0</v>
      </c>
      <c r="E208" t="s">
        <v>631</v>
      </c>
      <c r="F208" t="s">
        <v>630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632</v>
      </c>
      <c r="M208" t="s">
        <v>633</v>
      </c>
    </row>
    <row r="209" spans="1:13" x14ac:dyDescent="0.3">
      <c r="A209" t="s">
        <v>847</v>
      </c>
      <c r="B209" t="s">
        <v>629</v>
      </c>
      <c r="C209" t="s">
        <v>630</v>
      </c>
      <c r="D209">
        <v>0</v>
      </c>
      <c r="E209" t="s">
        <v>640</v>
      </c>
      <c r="F209" t="s">
        <v>630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636</v>
      </c>
      <c r="M209" t="s">
        <v>633</v>
      </c>
    </row>
    <row r="210" spans="1:13" x14ac:dyDescent="0.3">
      <c r="A210" t="s">
        <v>848</v>
      </c>
      <c r="B210" t="s">
        <v>629</v>
      </c>
      <c r="C210" t="s">
        <v>630</v>
      </c>
      <c r="D210">
        <v>0</v>
      </c>
      <c r="E210" t="s">
        <v>631</v>
      </c>
      <c r="F210" t="s">
        <v>630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632</v>
      </c>
      <c r="M210" t="s">
        <v>633</v>
      </c>
    </row>
    <row r="211" spans="1:13" x14ac:dyDescent="0.3">
      <c r="A211" t="s">
        <v>849</v>
      </c>
      <c r="B211" t="s">
        <v>629</v>
      </c>
      <c r="C211" t="s">
        <v>630</v>
      </c>
      <c r="D211">
        <v>0</v>
      </c>
      <c r="E211" t="s">
        <v>631</v>
      </c>
      <c r="F211" t="s">
        <v>630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646</v>
      </c>
      <c r="M211" t="s">
        <v>637</v>
      </c>
    </row>
    <row r="212" spans="1:13" x14ac:dyDescent="0.3">
      <c r="A212" t="s">
        <v>850</v>
      </c>
      <c r="B212" t="s">
        <v>657</v>
      </c>
      <c r="C212" t="s">
        <v>630</v>
      </c>
      <c r="D212">
        <v>0</v>
      </c>
      <c r="E212" t="s">
        <v>631</v>
      </c>
      <c r="F212" t="s">
        <v>630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646</v>
      </c>
      <c r="M212" t="s">
        <v>637</v>
      </c>
    </row>
    <row r="213" spans="1:13" x14ac:dyDescent="0.3">
      <c r="A213" t="s">
        <v>851</v>
      </c>
      <c r="B213" t="s">
        <v>629</v>
      </c>
      <c r="C213" t="s">
        <v>635</v>
      </c>
      <c r="D213" t="s">
        <v>645</v>
      </c>
      <c r="E213" t="s">
        <v>631</v>
      </c>
      <c r="F213" t="s">
        <v>630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646</v>
      </c>
      <c r="M213" t="s">
        <v>637</v>
      </c>
    </row>
    <row r="214" spans="1:13" x14ac:dyDescent="0.3">
      <c r="A214" t="s">
        <v>852</v>
      </c>
      <c r="B214" t="s">
        <v>629</v>
      </c>
      <c r="C214" t="s">
        <v>635</v>
      </c>
      <c r="D214">
        <v>1</v>
      </c>
      <c r="E214" t="s">
        <v>631</v>
      </c>
      <c r="F214" t="s">
        <v>635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632</v>
      </c>
      <c r="M214" t="s">
        <v>633</v>
      </c>
    </row>
    <row r="215" spans="1:13" x14ac:dyDescent="0.3">
      <c r="A215" t="s">
        <v>853</v>
      </c>
      <c r="B215" t="s">
        <v>629</v>
      </c>
      <c r="C215" t="s">
        <v>635</v>
      </c>
      <c r="D215" t="s">
        <v>645</v>
      </c>
      <c r="E215" t="s">
        <v>640</v>
      </c>
      <c r="F215" t="s">
        <v>635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636</v>
      </c>
      <c r="M215" t="s">
        <v>633</v>
      </c>
    </row>
    <row r="216" spans="1:13" x14ac:dyDescent="0.3">
      <c r="A216" t="s">
        <v>854</v>
      </c>
      <c r="B216" t="s">
        <v>629</v>
      </c>
      <c r="C216" t="s">
        <v>635</v>
      </c>
      <c r="D216">
        <v>0</v>
      </c>
      <c r="E216" t="s">
        <v>631</v>
      </c>
      <c r="F216" t="s">
        <v>630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632</v>
      </c>
      <c r="M216" t="s">
        <v>633</v>
      </c>
    </row>
    <row r="217" spans="1:13" x14ac:dyDescent="0.3">
      <c r="A217" t="s">
        <v>855</v>
      </c>
      <c r="B217" t="s">
        <v>629</v>
      </c>
      <c r="C217" t="s">
        <v>635</v>
      </c>
      <c r="D217" t="s">
        <v>645</v>
      </c>
      <c r="E217" t="s">
        <v>640</v>
      </c>
      <c r="F217" t="s">
        <v>630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646</v>
      </c>
      <c r="M217" t="s">
        <v>633</v>
      </c>
    </row>
    <row r="218" spans="1:13" x14ac:dyDescent="0.3">
      <c r="A218" t="s">
        <v>856</v>
      </c>
      <c r="B218" t="s">
        <v>629</v>
      </c>
      <c r="C218" t="s">
        <v>635</v>
      </c>
      <c r="D218">
        <v>0</v>
      </c>
      <c r="E218" t="s">
        <v>631</v>
      </c>
      <c r="F218" t="s">
        <v>630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636</v>
      </c>
      <c r="M218" t="s">
        <v>637</v>
      </c>
    </row>
    <row r="219" spans="1:13" x14ac:dyDescent="0.3">
      <c r="A219" t="s">
        <v>857</v>
      </c>
      <c r="B219" t="s">
        <v>629</v>
      </c>
      <c r="C219" t="s">
        <v>635</v>
      </c>
      <c r="D219">
        <v>0</v>
      </c>
      <c r="E219" t="s">
        <v>631</v>
      </c>
      <c r="F219" t="s">
        <v>630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646</v>
      </c>
      <c r="M219" t="s">
        <v>633</v>
      </c>
    </row>
    <row r="220" spans="1:13" x14ac:dyDescent="0.3">
      <c r="A220" t="s">
        <v>858</v>
      </c>
      <c r="B220" t="s">
        <v>629</v>
      </c>
      <c r="C220" t="s">
        <v>635</v>
      </c>
      <c r="D220">
        <v>2</v>
      </c>
      <c r="E220" t="s">
        <v>631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646</v>
      </c>
      <c r="M220" t="s">
        <v>637</v>
      </c>
    </row>
    <row r="221" spans="1:13" x14ac:dyDescent="0.3">
      <c r="A221" t="s">
        <v>859</v>
      </c>
      <c r="B221" t="s">
        <v>657</v>
      </c>
      <c r="C221" t="s">
        <v>635</v>
      </c>
      <c r="D221">
        <v>2</v>
      </c>
      <c r="E221" t="s">
        <v>631</v>
      </c>
      <c r="F221" t="s">
        <v>630</v>
      </c>
      <c r="G221">
        <v>4283</v>
      </c>
      <c r="H221">
        <v>2383</v>
      </c>
      <c r="I221">
        <v>127</v>
      </c>
      <c r="J221">
        <v>360</v>
      </c>
      <c r="L221" t="s">
        <v>646</v>
      </c>
      <c r="M221" t="s">
        <v>633</v>
      </c>
    </row>
    <row r="222" spans="1:13" x14ac:dyDescent="0.3">
      <c r="A222" t="s">
        <v>860</v>
      </c>
      <c r="B222" t="s">
        <v>629</v>
      </c>
      <c r="C222" t="s">
        <v>635</v>
      </c>
      <c r="D222">
        <v>0</v>
      </c>
      <c r="E222" t="s">
        <v>631</v>
      </c>
      <c r="F222" t="s">
        <v>630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632</v>
      </c>
      <c r="M222" t="s">
        <v>637</v>
      </c>
    </row>
    <row r="223" spans="1:13" x14ac:dyDescent="0.3">
      <c r="A223" t="s">
        <v>861</v>
      </c>
      <c r="B223" t="s">
        <v>629</v>
      </c>
      <c r="C223" t="s">
        <v>635</v>
      </c>
      <c r="D223">
        <v>2</v>
      </c>
      <c r="E223" t="s">
        <v>631</v>
      </c>
      <c r="F223" t="s">
        <v>630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646</v>
      </c>
      <c r="M223" t="s">
        <v>633</v>
      </c>
    </row>
    <row r="224" spans="1:13" x14ac:dyDescent="0.3">
      <c r="A224" t="s">
        <v>862</v>
      </c>
      <c r="B224" t="s">
        <v>629</v>
      </c>
      <c r="C224" t="s">
        <v>630</v>
      </c>
      <c r="D224">
        <v>0</v>
      </c>
      <c r="E224" t="s">
        <v>631</v>
      </c>
      <c r="F224" t="s">
        <v>630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646</v>
      </c>
      <c r="M224" t="s">
        <v>633</v>
      </c>
    </row>
    <row r="225" spans="1:13" x14ac:dyDescent="0.3">
      <c r="A225" t="s">
        <v>863</v>
      </c>
      <c r="B225" t="s">
        <v>629</v>
      </c>
      <c r="C225" t="s">
        <v>635</v>
      </c>
      <c r="D225">
        <v>0</v>
      </c>
      <c r="E225" t="s">
        <v>631</v>
      </c>
      <c r="F225" t="s">
        <v>630</v>
      </c>
      <c r="G225">
        <v>7578</v>
      </c>
      <c r="H225">
        <v>1010</v>
      </c>
      <c r="I225">
        <v>175</v>
      </c>
      <c r="K225">
        <v>1</v>
      </c>
      <c r="L225" t="s">
        <v>646</v>
      </c>
      <c r="M225" t="s">
        <v>633</v>
      </c>
    </row>
    <row r="226" spans="1:13" x14ac:dyDescent="0.3">
      <c r="A226" t="s">
        <v>864</v>
      </c>
      <c r="B226" t="s">
        <v>629</v>
      </c>
      <c r="C226" t="s">
        <v>635</v>
      </c>
      <c r="D226">
        <v>0</v>
      </c>
      <c r="E226" t="s">
        <v>631</v>
      </c>
      <c r="F226" t="s">
        <v>630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646</v>
      </c>
      <c r="M226" t="s">
        <v>633</v>
      </c>
    </row>
    <row r="227" spans="1:13" x14ac:dyDescent="0.3">
      <c r="A227" t="s">
        <v>865</v>
      </c>
      <c r="B227" t="s">
        <v>629</v>
      </c>
      <c r="C227" t="s">
        <v>635</v>
      </c>
      <c r="D227">
        <v>0</v>
      </c>
      <c r="E227" t="s">
        <v>631</v>
      </c>
      <c r="F227" t="s">
        <v>630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636</v>
      </c>
      <c r="M227" t="s">
        <v>637</v>
      </c>
    </row>
    <row r="228" spans="1:13" x14ac:dyDescent="0.3">
      <c r="A228" t="s">
        <v>866</v>
      </c>
      <c r="B228" t="s">
        <v>629</v>
      </c>
      <c r="C228" t="s">
        <v>635</v>
      </c>
      <c r="E228" t="s">
        <v>640</v>
      </c>
      <c r="F228" t="s">
        <v>635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632</v>
      </c>
      <c r="M228" t="s">
        <v>637</v>
      </c>
    </row>
    <row r="229" spans="1:13" x14ac:dyDescent="0.3">
      <c r="A229" t="s">
        <v>867</v>
      </c>
      <c r="B229" t="s">
        <v>629</v>
      </c>
      <c r="C229" t="s">
        <v>635</v>
      </c>
      <c r="D229">
        <v>2</v>
      </c>
      <c r="E229" t="s">
        <v>631</v>
      </c>
      <c r="F229" t="s">
        <v>630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646</v>
      </c>
      <c r="M229" t="s">
        <v>633</v>
      </c>
    </row>
    <row r="230" spans="1:13" x14ac:dyDescent="0.3">
      <c r="A230" t="s">
        <v>868</v>
      </c>
      <c r="B230" t="s">
        <v>629</v>
      </c>
      <c r="E230" t="s">
        <v>631</v>
      </c>
      <c r="F230" t="s">
        <v>630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646</v>
      </c>
      <c r="M230" t="s">
        <v>633</v>
      </c>
    </row>
    <row r="231" spans="1:13" x14ac:dyDescent="0.3">
      <c r="A231" t="s">
        <v>869</v>
      </c>
      <c r="B231" t="s">
        <v>629</v>
      </c>
      <c r="C231" t="s">
        <v>630</v>
      </c>
      <c r="D231">
        <v>0</v>
      </c>
      <c r="E231" t="s">
        <v>631</v>
      </c>
      <c r="F231" t="s">
        <v>635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636</v>
      </c>
      <c r="M231" t="s">
        <v>633</v>
      </c>
    </row>
    <row r="232" spans="1:13" x14ac:dyDescent="0.3">
      <c r="A232" t="s">
        <v>870</v>
      </c>
      <c r="B232" t="s">
        <v>629</v>
      </c>
      <c r="C232" t="s">
        <v>635</v>
      </c>
      <c r="D232">
        <v>1</v>
      </c>
      <c r="E232" t="s">
        <v>631</v>
      </c>
      <c r="F232" t="s">
        <v>630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646</v>
      </c>
      <c r="M232" t="s">
        <v>633</v>
      </c>
    </row>
    <row r="233" spans="1:13" x14ac:dyDescent="0.3">
      <c r="A233" t="s">
        <v>871</v>
      </c>
      <c r="B233" t="s">
        <v>629</v>
      </c>
      <c r="C233" t="s">
        <v>635</v>
      </c>
      <c r="D233">
        <v>0</v>
      </c>
      <c r="E233" t="s">
        <v>631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636</v>
      </c>
      <c r="M233" t="s">
        <v>633</v>
      </c>
    </row>
    <row r="234" spans="1:13" x14ac:dyDescent="0.3">
      <c r="A234" t="s">
        <v>872</v>
      </c>
      <c r="B234" t="s">
        <v>629</v>
      </c>
      <c r="C234" t="s">
        <v>630</v>
      </c>
      <c r="D234">
        <v>0</v>
      </c>
      <c r="E234" t="s">
        <v>640</v>
      </c>
      <c r="F234" t="s">
        <v>630</v>
      </c>
      <c r="G234">
        <v>3189</v>
      </c>
      <c r="H234">
        <v>2598</v>
      </c>
      <c r="I234">
        <v>120</v>
      </c>
      <c r="K234">
        <v>1</v>
      </c>
      <c r="L234" t="s">
        <v>636</v>
      </c>
      <c r="M234" t="s">
        <v>633</v>
      </c>
    </row>
    <row r="235" spans="1:13" x14ac:dyDescent="0.3">
      <c r="A235" t="s">
        <v>873</v>
      </c>
      <c r="B235" t="s">
        <v>657</v>
      </c>
      <c r="C235" t="s">
        <v>630</v>
      </c>
      <c r="D235">
        <v>0</v>
      </c>
      <c r="E235" t="s">
        <v>631</v>
      </c>
      <c r="F235" t="s">
        <v>630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646</v>
      </c>
      <c r="M235" t="s">
        <v>633</v>
      </c>
    </row>
    <row r="236" spans="1:13" x14ac:dyDescent="0.3">
      <c r="A236" t="s">
        <v>874</v>
      </c>
      <c r="B236" t="s">
        <v>629</v>
      </c>
      <c r="C236" t="s">
        <v>635</v>
      </c>
      <c r="D236">
        <v>1</v>
      </c>
      <c r="E236" t="s">
        <v>631</v>
      </c>
      <c r="F236" t="s">
        <v>630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646</v>
      </c>
      <c r="M236" t="s">
        <v>633</v>
      </c>
    </row>
    <row r="237" spans="1:13" x14ac:dyDescent="0.3">
      <c r="A237" t="s">
        <v>875</v>
      </c>
      <c r="B237" t="s">
        <v>629</v>
      </c>
      <c r="C237" t="s">
        <v>635</v>
      </c>
      <c r="D237">
        <v>1</v>
      </c>
      <c r="E237" t="s">
        <v>631</v>
      </c>
      <c r="F237" t="s">
        <v>630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636</v>
      </c>
      <c r="M237" t="s">
        <v>633</v>
      </c>
    </row>
    <row r="238" spans="1:13" x14ac:dyDescent="0.3">
      <c r="A238" t="s">
        <v>876</v>
      </c>
      <c r="B238" t="s">
        <v>629</v>
      </c>
      <c r="C238" t="s">
        <v>635</v>
      </c>
      <c r="D238">
        <v>0</v>
      </c>
      <c r="E238" t="s">
        <v>631</v>
      </c>
      <c r="G238">
        <v>5746</v>
      </c>
      <c r="H238">
        <v>0</v>
      </c>
      <c r="I238">
        <v>255</v>
      </c>
      <c r="J238">
        <v>360</v>
      </c>
      <c r="L238" t="s">
        <v>632</v>
      </c>
      <c r="M238" t="s">
        <v>637</v>
      </c>
    </row>
    <row r="239" spans="1:13" x14ac:dyDescent="0.3">
      <c r="A239" t="s">
        <v>877</v>
      </c>
      <c r="B239" t="s">
        <v>657</v>
      </c>
      <c r="C239" t="s">
        <v>630</v>
      </c>
      <c r="D239">
        <v>0</v>
      </c>
      <c r="E239" t="s">
        <v>631</v>
      </c>
      <c r="F239" t="s">
        <v>635</v>
      </c>
      <c r="G239">
        <v>3463</v>
      </c>
      <c r="H239">
        <v>0</v>
      </c>
      <c r="I239">
        <v>122</v>
      </c>
      <c r="J239">
        <v>360</v>
      </c>
      <c r="L239" t="s">
        <v>632</v>
      </c>
      <c r="M239" t="s">
        <v>633</v>
      </c>
    </row>
    <row r="240" spans="1:13" x14ac:dyDescent="0.3">
      <c r="A240" t="s">
        <v>878</v>
      </c>
      <c r="B240" t="s">
        <v>657</v>
      </c>
      <c r="C240" t="s">
        <v>630</v>
      </c>
      <c r="D240">
        <v>1</v>
      </c>
      <c r="E240" t="s">
        <v>631</v>
      </c>
      <c r="F240" t="s">
        <v>630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636</v>
      </c>
      <c r="M240" t="s">
        <v>633</v>
      </c>
    </row>
    <row r="241" spans="1:13" x14ac:dyDescent="0.3">
      <c r="A241" t="s">
        <v>879</v>
      </c>
      <c r="B241" t="s">
        <v>629</v>
      </c>
      <c r="C241" t="s">
        <v>635</v>
      </c>
      <c r="D241">
        <v>1</v>
      </c>
      <c r="E241" t="s">
        <v>631</v>
      </c>
      <c r="F241" t="s">
        <v>630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646</v>
      </c>
      <c r="M241" t="s">
        <v>633</v>
      </c>
    </row>
    <row r="242" spans="1:13" x14ac:dyDescent="0.3">
      <c r="A242" t="s">
        <v>880</v>
      </c>
      <c r="B242" t="s">
        <v>629</v>
      </c>
      <c r="C242" t="s">
        <v>635</v>
      </c>
      <c r="D242">
        <v>2</v>
      </c>
      <c r="E242" t="s">
        <v>631</v>
      </c>
      <c r="F242" t="s">
        <v>630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636</v>
      </c>
      <c r="M242" t="s">
        <v>633</v>
      </c>
    </row>
    <row r="243" spans="1:13" x14ac:dyDescent="0.3">
      <c r="A243" t="s">
        <v>881</v>
      </c>
      <c r="B243" t="s">
        <v>629</v>
      </c>
      <c r="C243" t="s">
        <v>635</v>
      </c>
      <c r="D243">
        <v>1</v>
      </c>
      <c r="E243" t="s">
        <v>640</v>
      </c>
      <c r="F243" t="s">
        <v>630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632</v>
      </c>
      <c r="M243" t="s">
        <v>637</v>
      </c>
    </row>
    <row r="244" spans="1:13" x14ac:dyDescent="0.3">
      <c r="A244" t="s">
        <v>882</v>
      </c>
      <c r="B244" t="s">
        <v>629</v>
      </c>
      <c r="C244" t="s">
        <v>630</v>
      </c>
      <c r="D244">
        <v>0</v>
      </c>
      <c r="E244" t="s">
        <v>631</v>
      </c>
      <c r="F244" t="s">
        <v>630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632</v>
      </c>
      <c r="M244" t="s">
        <v>633</v>
      </c>
    </row>
    <row r="245" spans="1:13" x14ac:dyDescent="0.3">
      <c r="A245" t="s">
        <v>883</v>
      </c>
      <c r="B245" t="s">
        <v>629</v>
      </c>
      <c r="C245" t="s">
        <v>635</v>
      </c>
      <c r="D245">
        <v>2</v>
      </c>
      <c r="E245" t="s">
        <v>631</v>
      </c>
      <c r="F245" t="s">
        <v>635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636</v>
      </c>
      <c r="M245" t="s">
        <v>633</v>
      </c>
    </row>
    <row r="246" spans="1:13" x14ac:dyDescent="0.3">
      <c r="A246" t="s">
        <v>884</v>
      </c>
      <c r="B246" t="s">
        <v>629</v>
      </c>
      <c r="C246" t="s">
        <v>635</v>
      </c>
      <c r="D246">
        <v>0</v>
      </c>
      <c r="E246" t="s">
        <v>640</v>
      </c>
      <c r="F246" t="s">
        <v>630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646</v>
      </c>
      <c r="M246" t="s">
        <v>633</v>
      </c>
    </row>
    <row r="247" spans="1:13" x14ac:dyDescent="0.3">
      <c r="A247" t="s">
        <v>885</v>
      </c>
      <c r="B247" t="s">
        <v>629</v>
      </c>
      <c r="C247" t="s">
        <v>630</v>
      </c>
      <c r="D247">
        <v>0</v>
      </c>
      <c r="E247" t="s">
        <v>631</v>
      </c>
      <c r="F247" t="s">
        <v>635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632</v>
      </c>
      <c r="M247" t="s">
        <v>637</v>
      </c>
    </row>
    <row r="248" spans="1:13" x14ac:dyDescent="0.3">
      <c r="A248" t="s">
        <v>886</v>
      </c>
      <c r="B248" t="s">
        <v>629</v>
      </c>
      <c r="C248" t="s">
        <v>635</v>
      </c>
      <c r="D248">
        <v>2</v>
      </c>
      <c r="E248" t="s">
        <v>631</v>
      </c>
      <c r="F248" t="s">
        <v>630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632</v>
      </c>
      <c r="M248" t="s">
        <v>633</v>
      </c>
    </row>
    <row r="249" spans="1:13" x14ac:dyDescent="0.3">
      <c r="A249" t="s">
        <v>887</v>
      </c>
      <c r="B249" t="s">
        <v>629</v>
      </c>
      <c r="C249" t="s">
        <v>635</v>
      </c>
      <c r="D249">
        <v>1</v>
      </c>
      <c r="E249" t="s">
        <v>640</v>
      </c>
      <c r="F249" t="s">
        <v>630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632</v>
      </c>
      <c r="M249" t="s">
        <v>633</v>
      </c>
    </row>
    <row r="250" spans="1:13" x14ac:dyDescent="0.3">
      <c r="A250" t="s">
        <v>888</v>
      </c>
      <c r="B250" t="s">
        <v>629</v>
      </c>
      <c r="C250" t="s">
        <v>635</v>
      </c>
      <c r="D250">
        <v>1</v>
      </c>
      <c r="E250" t="s">
        <v>631</v>
      </c>
      <c r="F250" t="s">
        <v>630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646</v>
      </c>
      <c r="M250" t="s">
        <v>633</v>
      </c>
    </row>
    <row r="251" spans="1:13" x14ac:dyDescent="0.3">
      <c r="A251" t="s">
        <v>889</v>
      </c>
      <c r="B251" t="s">
        <v>629</v>
      </c>
      <c r="C251" t="s">
        <v>635</v>
      </c>
      <c r="D251">
        <v>0</v>
      </c>
      <c r="E251" t="s">
        <v>631</v>
      </c>
      <c r="F251" t="s">
        <v>630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632</v>
      </c>
      <c r="M251" t="s">
        <v>633</v>
      </c>
    </row>
    <row r="252" spans="1:13" x14ac:dyDescent="0.3">
      <c r="A252" t="s">
        <v>890</v>
      </c>
      <c r="B252" t="s">
        <v>629</v>
      </c>
      <c r="C252" t="s">
        <v>635</v>
      </c>
      <c r="D252">
        <v>0</v>
      </c>
      <c r="E252" t="s">
        <v>640</v>
      </c>
      <c r="F252" t="s">
        <v>630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646</v>
      </c>
      <c r="M252" t="s">
        <v>637</v>
      </c>
    </row>
    <row r="253" spans="1:13" x14ac:dyDescent="0.3">
      <c r="A253" t="s">
        <v>891</v>
      </c>
      <c r="B253" t="s">
        <v>657</v>
      </c>
      <c r="C253" t="s">
        <v>630</v>
      </c>
      <c r="D253">
        <v>2</v>
      </c>
      <c r="E253" t="s">
        <v>631</v>
      </c>
      <c r="F253" t="s">
        <v>630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632</v>
      </c>
      <c r="M253" t="s">
        <v>637</v>
      </c>
    </row>
    <row r="254" spans="1:13" x14ac:dyDescent="0.3">
      <c r="A254" t="s">
        <v>892</v>
      </c>
      <c r="B254" t="s">
        <v>629</v>
      </c>
      <c r="C254" t="s">
        <v>630</v>
      </c>
      <c r="D254">
        <v>0</v>
      </c>
      <c r="E254" t="s">
        <v>640</v>
      </c>
      <c r="F254" t="s">
        <v>635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636</v>
      </c>
      <c r="M254" t="s">
        <v>633</v>
      </c>
    </row>
    <row r="255" spans="1:13" x14ac:dyDescent="0.3">
      <c r="A255" t="s">
        <v>893</v>
      </c>
      <c r="B255" t="s">
        <v>629</v>
      </c>
      <c r="C255" t="s">
        <v>635</v>
      </c>
      <c r="D255">
        <v>1</v>
      </c>
      <c r="E255" t="s">
        <v>640</v>
      </c>
      <c r="F255" t="s">
        <v>630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646</v>
      </c>
      <c r="M255" t="s">
        <v>633</v>
      </c>
    </row>
    <row r="256" spans="1:13" x14ac:dyDescent="0.3">
      <c r="A256" t="s">
        <v>894</v>
      </c>
      <c r="B256" t="s">
        <v>629</v>
      </c>
      <c r="C256" t="s">
        <v>630</v>
      </c>
      <c r="D256">
        <v>0</v>
      </c>
      <c r="E256" t="s">
        <v>631</v>
      </c>
      <c r="F256" t="s">
        <v>635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632</v>
      </c>
      <c r="M256" t="s">
        <v>637</v>
      </c>
    </row>
    <row r="257" spans="1:13" x14ac:dyDescent="0.3">
      <c r="A257" t="s">
        <v>895</v>
      </c>
      <c r="B257" t="s">
        <v>657</v>
      </c>
      <c r="C257" t="s">
        <v>630</v>
      </c>
      <c r="D257" t="s">
        <v>645</v>
      </c>
      <c r="E257" t="s">
        <v>631</v>
      </c>
      <c r="F257" t="s">
        <v>630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636</v>
      </c>
      <c r="M257" t="s">
        <v>633</v>
      </c>
    </row>
    <row r="258" spans="1:13" x14ac:dyDescent="0.3">
      <c r="A258" t="s">
        <v>896</v>
      </c>
      <c r="B258" t="s">
        <v>629</v>
      </c>
      <c r="C258" t="s">
        <v>630</v>
      </c>
      <c r="D258">
        <v>0</v>
      </c>
      <c r="E258" t="s">
        <v>640</v>
      </c>
      <c r="F258" t="s">
        <v>630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636</v>
      </c>
      <c r="M258" t="s">
        <v>637</v>
      </c>
    </row>
    <row r="259" spans="1:13" x14ac:dyDescent="0.3">
      <c r="A259" t="s">
        <v>897</v>
      </c>
      <c r="B259" t="s">
        <v>629</v>
      </c>
      <c r="C259" t="s">
        <v>635</v>
      </c>
      <c r="D259" t="s">
        <v>645</v>
      </c>
      <c r="E259" t="s">
        <v>631</v>
      </c>
      <c r="F259" t="s">
        <v>630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632</v>
      </c>
      <c r="M259" t="s">
        <v>637</v>
      </c>
    </row>
    <row r="260" spans="1:13" x14ac:dyDescent="0.3">
      <c r="A260" t="s">
        <v>898</v>
      </c>
      <c r="B260" t="s">
        <v>629</v>
      </c>
      <c r="C260" t="s">
        <v>635</v>
      </c>
      <c r="D260">
        <v>0</v>
      </c>
      <c r="E260" t="s">
        <v>631</v>
      </c>
      <c r="F260" t="s">
        <v>630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636</v>
      </c>
      <c r="M260" t="s">
        <v>637</v>
      </c>
    </row>
    <row r="261" spans="1:13" x14ac:dyDescent="0.3">
      <c r="A261" t="s">
        <v>899</v>
      </c>
      <c r="B261" t="s">
        <v>629</v>
      </c>
      <c r="C261" t="s">
        <v>635</v>
      </c>
      <c r="D261" t="s">
        <v>645</v>
      </c>
      <c r="E261" t="s">
        <v>640</v>
      </c>
      <c r="F261" t="s">
        <v>630</v>
      </c>
      <c r="G261">
        <v>4931</v>
      </c>
      <c r="H261">
        <v>0</v>
      </c>
      <c r="I261">
        <v>128</v>
      </c>
      <c r="J261">
        <v>360</v>
      </c>
      <c r="L261" t="s">
        <v>646</v>
      </c>
      <c r="M261" t="s">
        <v>637</v>
      </c>
    </row>
    <row r="262" spans="1:13" x14ac:dyDescent="0.3">
      <c r="A262" t="s">
        <v>900</v>
      </c>
      <c r="B262" t="s">
        <v>629</v>
      </c>
      <c r="C262" t="s">
        <v>635</v>
      </c>
      <c r="D262">
        <v>1</v>
      </c>
      <c r="E262" t="s">
        <v>631</v>
      </c>
      <c r="F262" t="s">
        <v>630</v>
      </c>
      <c r="G262">
        <v>6083</v>
      </c>
      <c r="H262">
        <v>4250</v>
      </c>
      <c r="I262">
        <v>330</v>
      </c>
      <c r="J262">
        <v>360</v>
      </c>
      <c r="L262" t="s">
        <v>632</v>
      </c>
      <c r="M262" t="s">
        <v>633</v>
      </c>
    </row>
    <row r="263" spans="1:13" x14ac:dyDescent="0.3">
      <c r="A263" t="s">
        <v>901</v>
      </c>
      <c r="B263" t="s">
        <v>629</v>
      </c>
      <c r="C263" t="s">
        <v>630</v>
      </c>
      <c r="D263">
        <v>0</v>
      </c>
      <c r="E263" t="s">
        <v>631</v>
      </c>
      <c r="F263" t="s">
        <v>630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646</v>
      </c>
      <c r="M263" t="s">
        <v>633</v>
      </c>
    </row>
    <row r="264" spans="1:13" x14ac:dyDescent="0.3">
      <c r="A264" t="s">
        <v>902</v>
      </c>
      <c r="B264" t="s">
        <v>657</v>
      </c>
      <c r="C264" t="s">
        <v>630</v>
      </c>
      <c r="D264">
        <v>1</v>
      </c>
      <c r="E264" t="s">
        <v>631</v>
      </c>
      <c r="F264" t="s">
        <v>630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646</v>
      </c>
      <c r="M264" t="s">
        <v>637</v>
      </c>
    </row>
    <row r="265" spans="1:13" x14ac:dyDescent="0.3">
      <c r="A265" t="s">
        <v>903</v>
      </c>
      <c r="B265" t="s">
        <v>657</v>
      </c>
      <c r="C265" t="s">
        <v>630</v>
      </c>
      <c r="D265">
        <v>0</v>
      </c>
      <c r="E265" t="s">
        <v>631</v>
      </c>
      <c r="F265" t="s">
        <v>630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636</v>
      </c>
      <c r="M265" t="s">
        <v>633</v>
      </c>
    </row>
    <row r="266" spans="1:13" x14ac:dyDescent="0.3">
      <c r="A266" t="s">
        <v>904</v>
      </c>
      <c r="B266" t="s">
        <v>629</v>
      </c>
      <c r="C266" t="s">
        <v>630</v>
      </c>
      <c r="D266">
        <v>0</v>
      </c>
      <c r="E266" t="s">
        <v>631</v>
      </c>
      <c r="F266" t="s">
        <v>635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646</v>
      </c>
      <c r="M266" t="s">
        <v>633</v>
      </c>
    </row>
    <row r="267" spans="1:13" x14ac:dyDescent="0.3">
      <c r="A267" t="s">
        <v>905</v>
      </c>
      <c r="B267" t="s">
        <v>629</v>
      </c>
      <c r="C267" t="s">
        <v>630</v>
      </c>
      <c r="D267">
        <v>0</v>
      </c>
      <c r="E267" t="s">
        <v>631</v>
      </c>
      <c r="F267" t="s">
        <v>630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636</v>
      </c>
      <c r="M267" t="s">
        <v>633</v>
      </c>
    </row>
    <row r="268" spans="1:13" x14ac:dyDescent="0.3">
      <c r="A268" t="s">
        <v>906</v>
      </c>
      <c r="B268" t="s">
        <v>629</v>
      </c>
      <c r="C268" t="s">
        <v>635</v>
      </c>
      <c r="D268">
        <v>2</v>
      </c>
      <c r="E268" t="s">
        <v>631</v>
      </c>
      <c r="F268" t="s">
        <v>630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646</v>
      </c>
      <c r="M268" t="s">
        <v>633</v>
      </c>
    </row>
    <row r="269" spans="1:13" x14ac:dyDescent="0.3">
      <c r="A269" t="s">
        <v>907</v>
      </c>
      <c r="B269" t="s">
        <v>629</v>
      </c>
      <c r="C269" t="s">
        <v>635</v>
      </c>
      <c r="D269" t="s">
        <v>645</v>
      </c>
      <c r="E269" t="s">
        <v>631</v>
      </c>
      <c r="F269" t="s">
        <v>630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632</v>
      </c>
      <c r="M269" t="s">
        <v>633</v>
      </c>
    </row>
    <row r="270" spans="1:13" x14ac:dyDescent="0.3">
      <c r="A270" t="s">
        <v>908</v>
      </c>
      <c r="B270" t="s">
        <v>657</v>
      </c>
      <c r="C270" t="s">
        <v>630</v>
      </c>
      <c r="D270">
        <v>0</v>
      </c>
      <c r="E270" t="s">
        <v>631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636</v>
      </c>
      <c r="M270" t="s">
        <v>637</v>
      </c>
    </row>
    <row r="271" spans="1:13" x14ac:dyDescent="0.3">
      <c r="A271" t="s">
        <v>909</v>
      </c>
      <c r="B271" t="s">
        <v>657</v>
      </c>
      <c r="C271" t="s">
        <v>630</v>
      </c>
      <c r="D271">
        <v>1</v>
      </c>
      <c r="E271" t="s">
        <v>631</v>
      </c>
      <c r="F271" t="s">
        <v>630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632</v>
      </c>
      <c r="M271" t="s">
        <v>633</v>
      </c>
    </row>
    <row r="272" spans="1:13" x14ac:dyDescent="0.3">
      <c r="A272" t="s">
        <v>910</v>
      </c>
      <c r="B272" t="s">
        <v>657</v>
      </c>
      <c r="C272" t="s">
        <v>630</v>
      </c>
      <c r="D272">
        <v>0</v>
      </c>
      <c r="E272" t="s">
        <v>631</v>
      </c>
      <c r="F272" t="s">
        <v>630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632</v>
      </c>
      <c r="M272" t="s">
        <v>633</v>
      </c>
    </row>
    <row r="273" spans="1:13" x14ac:dyDescent="0.3">
      <c r="A273" t="s">
        <v>911</v>
      </c>
      <c r="B273" t="s">
        <v>629</v>
      </c>
      <c r="C273" t="s">
        <v>635</v>
      </c>
      <c r="D273">
        <v>0</v>
      </c>
      <c r="E273" t="s">
        <v>631</v>
      </c>
      <c r="F273" t="s">
        <v>630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632</v>
      </c>
      <c r="M273" t="s">
        <v>633</v>
      </c>
    </row>
    <row r="274" spans="1:13" x14ac:dyDescent="0.3">
      <c r="A274" t="s">
        <v>912</v>
      </c>
      <c r="B274" t="s">
        <v>629</v>
      </c>
      <c r="C274" t="s">
        <v>630</v>
      </c>
      <c r="D274">
        <v>0</v>
      </c>
      <c r="E274" t="s">
        <v>631</v>
      </c>
      <c r="F274" t="s">
        <v>630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636</v>
      </c>
      <c r="M274" t="s">
        <v>633</v>
      </c>
    </row>
    <row r="275" spans="1:13" x14ac:dyDescent="0.3">
      <c r="A275" t="s">
        <v>913</v>
      </c>
      <c r="B275" t="s">
        <v>629</v>
      </c>
      <c r="C275" t="s">
        <v>635</v>
      </c>
      <c r="D275">
        <v>0</v>
      </c>
      <c r="E275" t="s">
        <v>631</v>
      </c>
      <c r="F275" t="s">
        <v>630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646</v>
      </c>
      <c r="M275" t="s">
        <v>633</v>
      </c>
    </row>
    <row r="276" spans="1:13" x14ac:dyDescent="0.3">
      <c r="A276" t="s">
        <v>914</v>
      </c>
      <c r="B276" t="s">
        <v>629</v>
      </c>
      <c r="C276" t="s">
        <v>635</v>
      </c>
      <c r="D276">
        <v>2</v>
      </c>
      <c r="E276" t="s">
        <v>631</v>
      </c>
      <c r="F276" t="s">
        <v>630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646</v>
      </c>
      <c r="M276" t="s">
        <v>633</v>
      </c>
    </row>
    <row r="277" spans="1:13" x14ac:dyDescent="0.3">
      <c r="A277" t="s">
        <v>915</v>
      </c>
      <c r="B277" t="s">
        <v>629</v>
      </c>
      <c r="C277" t="s">
        <v>635</v>
      </c>
      <c r="D277">
        <v>1</v>
      </c>
      <c r="E277" t="s">
        <v>631</v>
      </c>
      <c r="F277" t="s">
        <v>630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646</v>
      </c>
      <c r="M277" t="s">
        <v>633</v>
      </c>
    </row>
    <row r="278" spans="1:13" x14ac:dyDescent="0.3">
      <c r="A278" t="s">
        <v>916</v>
      </c>
      <c r="B278" t="s">
        <v>629</v>
      </c>
      <c r="C278" t="s">
        <v>635</v>
      </c>
      <c r="D278">
        <v>0</v>
      </c>
      <c r="E278" t="s">
        <v>631</v>
      </c>
      <c r="F278" t="s">
        <v>630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646</v>
      </c>
      <c r="M278" t="s">
        <v>633</v>
      </c>
    </row>
    <row r="279" spans="1:13" x14ac:dyDescent="0.3">
      <c r="A279" t="s">
        <v>917</v>
      </c>
      <c r="B279" t="s">
        <v>629</v>
      </c>
      <c r="C279" t="s">
        <v>635</v>
      </c>
      <c r="D279">
        <v>0</v>
      </c>
      <c r="E279" t="s">
        <v>631</v>
      </c>
      <c r="F279" t="s">
        <v>630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632</v>
      </c>
      <c r="M279" t="s">
        <v>633</v>
      </c>
    </row>
    <row r="280" spans="1:13" x14ac:dyDescent="0.3">
      <c r="A280" t="s">
        <v>918</v>
      </c>
      <c r="B280" t="s">
        <v>629</v>
      </c>
      <c r="C280" t="s">
        <v>635</v>
      </c>
      <c r="D280">
        <v>0</v>
      </c>
      <c r="E280" t="s">
        <v>631</v>
      </c>
      <c r="F280" t="s">
        <v>630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646</v>
      </c>
      <c r="M280" t="s">
        <v>633</v>
      </c>
    </row>
    <row r="281" spans="1:13" x14ac:dyDescent="0.3">
      <c r="A281" t="s">
        <v>919</v>
      </c>
      <c r="B281" t="s">
        <v>657</v>
      </c>
      <c r="C281" t="s">
        <v>635</v>
      </c>
      <c r="D281">
        <v>0</v>
      </c>
      <c r="E281" t="s">
        <v>640</v>
      </c>
      <c r="F281" t="s">
        <v>630</v>
      </c>
      <c r="G281">
        <v>4100</v>
      </c>
      <c r="H281">
        <v>0</v>
      </c>
      <c r="I281">
        <v>124</v>
      </c>
      <c r="J281">
        <v>360</v>
      </c>
      <c r="L281" t="s">
        <v>636</v>
      </c>
      <c r="M281" t="s">
        <v>633</v>
      </c>
    </row>
    <row r="282" spans="1:13" x14ac:dyDescent="0.3">
      <c r="A282" t="s">
        <v>920</v>
      </c>
      <c r="B282" t="s">
        <v>629</v>
      </c>
      <c r="C282" t="s">
        <v>630</v>
      </c>
      <c r="D282">
        <v>1</v>
      </c>
      <c r="E282" t="s">
        <v>640</v>
      </c>
      <c r="F282" t="s">
        <v>635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632</v>
      </c>
      <c r="M282" t="s">
        <v>637</v>
      </c>
    </row>
    <row r="283" spans="1:13" x14ac:dyDescent="0.3">
      <c r="A283" t="s">
        <v>921</v>
      </c>
      <c r="B283" t="s">
        <v>629</v>
      </c>
      <c r="C283" t="s">
        <v>635</v>
      </c>
      <c r="D283">
        <v>0</v>
      </c>
      <c r="E283" t="s">
        <v>631</v>
      </c>
      <c r="F283" t="s">
        <v>630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646</v>
      </c>
      <c r="M283" t="s">
        <v>633</v>
      </c>
    </row>
    <row r="284" spans="1:13" x14ac:dyDescent="0.3">
      <c r="A284" t="s">
        <v>922</v>
      </c>
      <c r="B284" t="s">
        <v>629</v>
      </c>
      <c r="C284" t="s">
        <v>635</v>
      </c>
      <c r="D284">
        <v>2</v>
      </c>
      <c r="E284" t="s">
        <v>631</v>
      </c>
      <c r="F284" t="s">
        <v>630</v>
      </c>
      <c r="G284">
        <v>2301</v>
      </c>
      <c r="H284" s="1">
        <v>9857999878</v>
      </c>
      <c r="I284">
        <v>78</v>
      </c>
      <c r="J284">
        <v>180</v>
      </c>
      <c r="K284">
        <v>1</v>
      </c>
      <c r="L284" t="s">
        <v>632</v>
      </c>
      <c r="M284" t="s">
        <v>633</v>
      </c>
    </row>
    <row r="285" spans="1:13" x14ac:dyDescent="0.3">
      <c r="A285" t="s">
        <v>923</v>
      </c>
      <c r="B285" t="s">
        <v>657</v>
      </c>
      <c r="C285" t="s">
        <v>630</v>
      </c>
      <c r="D285">
        <v>0</v>
      </c>
      <c r="E285" t="s">
        <v>631</v>
      </c>
      <c r="F285" t="s">
        <v>630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632</v>
      </c>
      <c r="M285" t="s">
        <v>633</v>
      </c>
    </row>
    <row r="286" spans="1:13" x14ac:dyDescent="0.3">
      <c r="A286" t="s">
        <v>924</v>
      </c>
      <c r="B286" t="s">
        <v>629</v>
      </c>
      <c r="C286" t="s">
        <v>635</v>
      </c>
      <c r="D286">
        <v>0</v>
      </c>
      <c r="E286" t="s">
        <v>631</v>
      </c>
      <c r="F286" t="s">
        <v>630</v>
      </c>
      <c r="G286">
        <v>20667</v>
      </c>
      <c r="H286">
        <v>0</v>
      </c>
      <c r="J286">
        <v>360</v>
      </c>
      <c r="K286">
        <v>1</v>
      </c>
      <c r="L286" t="s">
        <v>636</v>
      </c>
      <c r="M286" t="s">
        <v>637</v>
      </c>
    </row>
    <row r="287" spans="1:13" x14ac:dyDescent="0.3">
      <c r="A287" t="s">
        <v>925</v>
      </c>
      <c r="B287" t="s">
        <v>629</v>
      </c>
      <c r="C287" t="s">
        <v>630</v>
      </c>
      <c r="D287">
        <v>0</v>
      </c>
      <c r="E287" t="s">
        <v>631</v>
      </c>
      <c r="F287" t="s">
        <v>630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636</v>
      </c>
      <c r="M287" t="s">
        <v>633</v>
      </c>
    </row>
    <row r="288" spans="1:13" x14ac:dyDescent="0.3">
      <c r="A288" t="s">
        <v>926</v>
      </c>
      <c r="B288" t="s">
        <v>657</v>
      </c>
      <c r="C288" t="s">
        <v>630</v>
      </c>
      <c r="D288">
        <v>0</v>
      </c>
      <c r="E288" t="s">
        <v>631</v>
      </c>
      <c r="F288" t="s">
        <v>635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646</v>
      </c>
      <c r="M288" t="s">
        <v>637</v>
      </c>
    </row>
    <row r="289" spans="1:13" x14ac:dyDescent="0.3">
      <c r="A289" t="s">
        <v>927</v>
      </c>
      <c r="B289" t="s">
        <v>629</v>
      </c>
      <c r="C289" t="s">
        <v>635</v>
      </c>
      <c r="D289">
        <v>0</v>
      </c>
      <c r="E289" t="s">
        <v>631</v>
      </c>
      <c r="F289" t="s">
        <v>630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636</v>
      </c>
      <c r="M289" t="s">
        <v>633</v>
      </c>
    </row>
    <row r="290" spans="1:13" x14ac:dyDescent="0.3">
      <c r="A290" t="s">
        <v>928</v>
      </c>
      <c r="B290" t="s">
        <v>657</v>
      </c>
      <c r="C290" t="s">
        <v>630</v>
      </c>
      <c r="D290">
        <v>0</v>
      </c>
      <c r="E290" t="s">
        <v>631</v>
      </c>
      <c r="F290" t="s">
        <v>630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646</v>
      </c>
      <c r="M290" t="s">
        <v>633</v>
      </c>
    </row>
    <row r="291" spans="1:13" x14ac:dyDescent="0.3">
      <c r="A291" t="s">
        <v>929</v>
      </c>
      <c r="B291" t="s">
        <v>629</v>
      </c>
      <c r="C291" t="s">
        <v>630</v>
      </c>
      <c r="D291">
        <v>0</v>
      </c>
      <c r="E291" t="s">
        <v>631</v>
      </c>
      <c r="F291" t="s">
        <v>630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636</v>
      </c>
      <c r="M291" t="s">
        <v>633</v>
      </c>
    </row>
    <row r="292" spans="1:13" x14ac:dyDescent="0.3">
      <c r="A292" t="s">
        <v>930</v>
      </c>
      <c r="B292" t="s">
        <v>629</v>
      </c>
      <c r="C292" t="s">
        <v>635</v>
      </c>
      <c r="D292">
        <v>0</v>
      </c>
      <c r="E292" t="s">
        <v>631</v>
      </c>
      <c r="F292" t="s">
        <v>630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636</v>
      </c>
      <c r="M292" t="s">
        <v>633</v>
      </c>
    </row>
    <row r="293" spans="1:13" x14ac:dyDescent="0.3">
      <c r="A293" t="s">
        <v>931</v>
      </c>
      <c r="B293" t="s">
        <v>629</v>
      </c>
      <c r="C293" t="s">
        <v>635</v>
      </c>
      <c r="D293">
        <v>2</v>
      </c>
      <c r="E293" t="s">
        <v>631</v>
      </c>
      <c r="F293" t="s">
        <v>630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646</v>
      </c>
      <c r="M293" t="s">
        <v>637</v>
      </c>
    </row>
    <row r="294" spans="1:13" x14ac:dyDescent="0.3">
      <c r="A294" t="s">
        <v>932</v>
      </c>
      <c r="B294" t="s">
        <v>629</v>
      </c>
      <c r="C294" t="s">
        <v>635</v>
      </c>
      <c r="D294">
        <v>2</v>
      </c>
      <c r="E294" t="s">
        <v>631</v>
      </c>
      <c r="F294" t="s">
        <v>630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632</v>
      </c>
      <c r="M294" t="s">
        <v>633</v>
      </c>
    </row>
    <row r="295" spans="1:13" x14ac:dyDescent="0.3">
      <c r="A295" t="s">
        <v>933</v>
      </c>
      <c r="B295" t="s">
        <v>657</v>
      </c>
      <c r="C295" t="s">
        <v>630</v>
      </c>
      <c r="E295" t="s">
        <v>631</v>
      </c>
      <c r="F295" t="s">
        <v>630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632</v>
      </c>
      <c r="M295" t="s">
        <v>637</v>
      </c>
    </row>
    <row r="296" spans="1:13" x14ac:dyDescent="0.3">
      <c r="A296" t="s">
        <v>934</v>
      </c>
      <c r="B296" t="s">
        <v>629</v>
      </c>
      <c r="C296" t="s">
        <v>635</v>
      </c>
      <c r="D296">
        <v>0</v>
      </c>
      <c r="E296" t="s">
        <v>631</v>
      </c>
      <c r="F296" t="s">
        <v>630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646</v>
      </c>
      <c r="M296" t="s">
        <v>633</v>
      </c>
    </row>
    <row r="297" spans="1:13" x14ac:dyDescent="0.3">
      <c r="A297" t="s">
        <v>935</v>
      </c>
      <c r="B297" t="s">
        <v>629</v>
      </c>
      <c r="C297" t="s">
        <v>635</v>
      </c>
      <c r="D297" t="s">
        <v>645</v>
      </c>
      <c r="E297" t="s">
        <v>631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632</v>
      </c>
      <c r="M297" t="s">
        <v>633</v>
      </c>
    </row>
    <row r="298" spans="1:13" x14ac:dyDescent="0.3">
      <c r="A298" t="s">
        <v>936</v>
      </c>
      <c r="B298" t="s">
        <v>629</v>
      </c>
      <c r="C298" t="s">
        <v>635</v>
      </c>
      <c r="D298">
        <v>1</v>
      </c>
      <c r="E298" t="s">
        <v>631</v>
      </c>
      <c r="F298" t="s">
        <v>630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646</v>
      </c>
      <c r="M298" t="s">
        <v>633</v>
      </c>
    </row>
    <row r="299" spans="1:13" x14ac:dyDescent="0.3">
      <c r="A299" t="s">
        <v>937</v>
      </c>
      <c r="B299" t="s">
        <v>657</v>
      </c>
      <c r="C299" t="s">
        <v>635</v>
      </c>
      <c r="D299">
        <v>1</v>
      </c>
      <c r="E299" t="s">
        <v>631</v>
      </c>
      <c r="F299" t="s">
        <v>630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632</v>
      </c>
      <c r="M299" t="s">
        <v>633</v>
      </c>
    </row>
    <row r="300" spans="1:13" x14ac:dyDescent="0.3">
      <c r="A300" t="s">
        <v>938</v>
      </c>
      <c r="B300" t="s">
        <v>657</v>
      </c>
      <c r="C300" t="s">
        <v>630</v>
      </c>
      <c r="D300">
        <v>0</v>
      </c>
      <c r="E300" t="s">
        <v>631</v>
      </c>
      <c r="F300" t="s">
        <v>630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636</v>
      </c>
      <c r="M300" t="s">
        <v>637</v>
      </c>
    </row>
    <row r="301" spans="1:13" x14ac:dyDescent="0.3">
      <c r="A301" t="s">
        <v>939</v>
      </c>
      <c r="B301" t="s">
        <v>629</v>
      </c>
      <c r="C301" t="s">
        <v>635</v>
      </c>
      <c r="D301">
        <v>1</v>
      </c>
      <c r="E301" t="s">
        <v>631</v>
      </c>
      <c r="F301" t="s">
        <v>630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632</v>
      </c>
      <c r="M301" t="s">
        <v>637</v>
      </c>
    </row>
    <row r="302" spans="1:13" x14ac:dyDescent="0.3">
      <c r="A302" t="s">
        <v>940</v>
      </c>
      <c r="B302" t="s">
        <v>629</v>
      </c>
      <c r="C302" t="s">
        <v>635</v>
      </c>
      <c r="D302">
        <v>0</v>
      </c>
      <c r="E302" t="s">
        <v>640</v>
      </c>
      <c r="F302" t="s">
        <v>630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632</v>
      </c>
      <c r="M302" t="s">
        <v>637</v>
      </c>
    </row>
    <row r="303" spans="1:13" x14ac:dyDescent="0.3">
      <c r="A303" t="s">
        <v>941</v>
      </c>
      <c r="B303" t="s">
        <v>629</v>
      </c>
      <c r="C303" t="s">
        <v>635</v>
      </c>
      <c r="E303" t="s">
        <v>640</v>
      </c>
      <c r="F303" t="s">
        <v>630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646</v>
      </c>
      <c r="M303" t="s">
        <v>633</v>
      </c>
    </row>
    <row r="304" spans="1:13" x14ac:dyDescent="0.3">
      <c r="A304" t="s">
        <v>942</v>
      </c>
      <c r="B304" t="s">
        <v>657</v>
      </c>
      <c r="C304" t="s">
        <v>630</v>
      </c>
      <c r="D304">
        <v>0</v>
      </c>
      <c r="E304" t="s">
        <v>631</v>
      </c>
      <c r="F304" t="s">
        <v>630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636</v>
      </c>
      <c r="M304" t="s">
        <v>633</v>
      </c>
    </row>
    <row r="305" spans="1:13" x14ac:dyDescent="0.3">
      <c r="A305" t="s">
        <v>943</v>
      </c>
      <c r="B305" t="s">
        <v>629</v>
      </c>
      <c r="C305" t="s">
        <v>635</v>
      </c>
      <c r="D305">
        <v>1</v>
      </c>
      <c r="E305" t="s">
        <v>631</v>
      </c>
      <c r="F305" t="s">
        <v>630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632</v>
      </c>
      <c r="M305" t="s">
        <v>633</v>
      </c>
    </row>
    <row r="306" spans="1:13" x14ac:dyDescent="0.3">
      <c r="A306" t="s">
        <v>944</v>
      </c>
      <c r="B306" t="s">
        <v>629</v>
      </c>
      <c r="C306" t="s">
        <v>630</v>
      </c>
      <c r="D306">
        <v>0</v>
      </c>
      <c r="E306" t="s">
        <v>631</v>
      </c>
      <c r="F306" t="s">
        <v>630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636</v>
      </c>
      <c r="M306" t="s">
        <v>633</v>
      </c>
    </row>
    <row r="307" spans="1:13" x14ac:dyDescent="0.3">
      <c r="A307" t="s">
        <v>945</v>
      </c>
      <c r="B307" t="s">
        <v>629</v>
      </c>
      <c r="C307" t="s">
        <v>630</v>
      </c>
      <c r="D307">
        <v>0</v>
      </c>
      <c r="E307" t="s">
        <v>640</v>
      </c>
      <c r="F307" t="s">
        <v>630</v>
      </c>
      <c r="G307">
        <v>2000</v>
      </c>
      <c r="H307">
        <v>0</v>
      </c>
      <c r="J307">
        <v>360</v>
      </c>
      <c r="K307">
        <v>1</v>
      </c>
      <c r="L307" t="s">
        <v>632</v>
      </c>
      <c r="M307" t="s">
        <v>637</v>
      </c>
    </row>
    <row r="308" spans="1:13" x14ac:dyDescent="0.3">
      <c r="A308" t="s">
        <v>946</v>
      </c>
      <c r="B308" t="s">
        <v>657</v>
      </c>
      <c r="C308" t="s">
        <v>630</v>
      </c>
      <c r="D308">
        <v>0</v>
      </c>
      <c r="E308" t="s">
        <v>631</v>
      </c>
      <c r="F308" t="s">
        <v>630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636</v>
      </c>
      <c r="M308" t="s">
        <v>633</v>
      </c>
    </row>
    <row r="309" spans="1:13" x14ac:dyDescent="0.3">
      <c r="A309" t="s">
        <v>947</v>
      </c>
      <c r="B309" t="s">
        <v>657</v>
      </c>
      <c r="C309" t="s">
        <v>630</v>
      </c>
      <c r="D309">
        <v>0</v>
      </c>
      <c r="E309" t="s">
        <v>631</v>
      </c>
      <c r="F309" t="s">
        <v>630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632</v>
      </c>
      <c r="M309" t="s">
        <v>637</v>
      </c>
    </row>
    <row r="310" spans="1:13" x14ac:dyDescent="0.3">
      <c r="A310" t="s">
        <v>948</v>
      </c>
      <c r="B310" t="s">
        <v>629</v>
      </c>
      <c r="C310" t="s">
        <v>630</v>
      </c>
      <c r="D310">
        <v>0</v>
      </c>
      <c r="E310" t="s">
        <v>631</v>
      </c>
      <c r="F310" t="s">
        <v>630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636</v>
      </c>
      <c r="M310" t="s">
        <v>637</v>
      </c>
    </row>
    <row r="311" spans="1:13" x14ac:dyDescent="0.3">
      <c r="A311" t="s">
        <v>949</v>
      </c>
      <c r="B311" t="s">
        <v>629</v>
      </c>
      <c r="C311" t="s">
        <v>635</v>
      </c>
      <c r="D311">
        <v>2</v>
      </c>
      <c r="E311" t="s">
        <v>640</v>
      </c>
      <c r="F311" t="s">
        <v>630</v>
      </c>
      <c r="G311">
        <v>7667</v>
      </c>
      <c r="H311">
        <v>0</v>
      </c>
      <c r="I311">
        <v>185</v>
      </c>
      <c r="J311">
        <v>360</v>
      </c>
      <c r="L311" t="s">
        <v>636</v>
      </c>
      <c r="M311" t="s">
        <v>633</v>
      </c>
    </row>
    <row r="312" spans="1:13" x14ac:dyDescent="0.3">
      <c r="A312" t="s">
        <v>950</v>
      </c>
      <c r="B312" t="s">
        <v>657</v>
      </c>
      <c r="C312" t="s">
        <v>630</v>
      </c>
      <c r="D312">
        <v>0</v>
      </c>
      <c r="E312" t="s">
        <v>631</v>
      </c>
      <c r="F312" t="s">
        <v>630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646</v>
      </c>
      <c r="M312" t="s">
        <v>633</v>
      </c>
    </row>
    <row r="313" spans="1:13" x14ac:dyDescent="0.3">
      <c r="A313" t="s">
        <v>951</v>
      </c>
      <c r="B313" t="s">
        <v>629</v>
      </c>
      <c r="C313" t="s">
        <v>630</v>
      </c>
      <c r="D313">
        <v>0</v>
      </c>
      <c r="E313" t="s">
        <v>640</v>
      </c>
      <c r="F313" t="s">
        <v>630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646</v>
      </c>
      <c r="M313" t="s">
        <v>633</v>
      </c>
    </row>
    <row r="314" spans="1:13" x14ac:dyDescent="0.3">
      <c r="A314" t="s">
        <v>952</v>
      </c>
      <c r="B314" t="s">
        <v>657</v>
      </c>
      <c r="C314" t="s">
        <v>630</v>
      </c>
      <c r="D314">
        <v>0</v>
      </c>
      <c r="E314" t="s">
        <v>631</v>
      </c>
      <c r="F314" t="s">
        <v>630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636</v>
      </c>
      <c r="M314" t="s">
        <v>633</v>
      </c>
    </row>
    <row r="315" spans="1:13" x14ac:dyDescent="0.3">
      <c r="A315" t="s">
        <v>953</v>
      </c>
      <c r="B315" t="s">
        <v>629</v>
      </c>
      <c r="C315" t="s">
        <v>635</v>
      </c>
      <c r="D315">
        <v>2</v>
      </c>
      <c r="E315" t="s">
        <v>631</v>
      </c>
      <c r="F315" t="s">
        <v>635</v>
      </c>
      <c r="G315">
        <v>5746</v>
      </c>
      <c r="H315">
        <v>0</v>
      </c>
      <c r="I315">
        <v>144</v>
      </c>
      <c r="J315">
        <v>84</v>
      </c>
      <c r="L315" t="s">
        <v>636</v>
      </c>
      <c r="M315" t="s">
        <v>633</v>
      </c>
    </row>
    <row r="316" spans="1:13" x14ac:dyDescent="0.3">
      <c r="A316" t="s">
        <v>954</v>
      </c>
      <c r="C316" t="s">
        <v>635</v>
      </c>
      <c r="D316">
        <v>0</v>
      </c>
      <c r="E316" t="s">
        <v>631</v>
      </c>
      <c r="F316" t="s">
        <v>630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636</v>
      </c>
      <c r="M316" t="s">
        <v>637</v>
      </c>
    </row>
    <row r="317" spans="1:13" x14ac:dyDescent="0.3">
      <c r="A317" t="s">
        <v>955</v>
      </c>
      <c r="B317" t="s">
        <v>629</v>
      </c>
      <c r="C317" t="s">
        <v>635</v>
      </c>
      <c r="D317">
        <v>1</v>
      </c>
      <c r="E317" t="s">
        <v>640</v>
      </c>
      <c r="F317" t="s">
        <v>630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632</v>
      </c>
      <c r="M317" t="s">
        <v>633</v>
      </c>
    </row>
    <row r="318" spans="1:13" x14ac:dyDescent="0.3">
      <c r="A318" t="s">
        <v>956</v>
      </c>
      <c r="B318" t="s">
        <v>629</v>
      </c>
      <c r="C318" t="s">
        <v>635</v>
      </c>
      <c r="D318">
        <v>2</v>
      </c>
      <c r="E318" t="s">
        <v>631</v>
      </c>
      <c r="F318" t="s">
        <v>630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646</v>
      </c>
      <c r="M318" t="s">
        <v>633</v>
      </c>
    </row>
    <row r="319" spans="1:13" x14ac:dyDescent="0.3">
      <c r="A319" t="s">
        <v>957</v>
      </c>
      <c r="B319" t="s">
        <v>629</v>
      </c>
      <c r="C319" t="s">
        <v>635</v>
      </c>
      <c r="D319">
        <v>0</v>
      </c>
      <c r="E319" t="s">
        <v>631</v>
      </c>
      <c r="F319" t="s">
        <v>630</v>
      </c>
      <c r="G319">
        <v>2058</v>
      </c>
      <c r="H319">
        <v>2134</v>
      </c>
      <c r="I319">
        <v>88</v>
      </c>
      <c r="J319">
        <v>360</v>
      </c>
      <c r="L319" t="s">
        <v>632</v>
      </c>
      <c r="M319" t="s">
        <v>633</v>
      </c>
    </row>
    <row r="320" spans="1:13" x14ac:dyDescent="0.3">
      <c r="A320" t="s">
        <v>958</v>
      </c>
      <c r="B320" t="s">
        <v>657</v>
      </c>
      <c r="C320" t="s">
        <v>630</v>
      </c>
      <c r="D320">
        <v>1</v>
      </c>
      <c r="E320" t="s">
        <v>631</v>
      </c>
      <c r="F320" t="s">
        <v>630</v>
      </c>
      <c r="G320">
        <v>3541</v>
      </c>
      <c r="H320">
        <v>0</v>
      </c>
      <c r="I320">
        <v>112</v>
      </c>
      <c r="J320">
        <v>360</v>
      </c>
      <c r="L320" t="s">
        <v>646</v>
      </c>
      <c r="M320" t="s">
        <v>633</v>
      </c>
    </row>
    <row r="321" spans="1:13" x14ac:dyDescent="0.3">
      <c r="A321" t="s">
        <v>959</v>
      </c>
      <c r="B321" t="s">
        <v>629</v>
      </c>
      <c r="C321" t="s">
        <v>635</v>
      </c>
      <c r="D321">
        <v>1</v>
      </c>
      <c r="E321" t="s">
        <v>631</v>
      </c>
      <c r="F321" t="s">
        <v>635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636</v>
      </c>
      <c r="M321" t="s">
        <v>637</v>
      </c>
    </row>
    <row r="322" spans="1:13" x14ac:dyDescent="0.3">
      <c r="A322" t="s">
        <v>960</v>
      </c>
      <c r="B322" t="s">
        <v>629</v>
      </c>
      <c r="C322" t="s">
        <v>635</v>
      </c>
      <c r="D322">
        <v>0</v>
      </c>
      <c r="E322" t="s">
        <v>631</v>
      </c>
      <c r="F322" t="s">
        <v>630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646</v>
      </c>
      <c r="M322" t="s">
        <v>633</v>
      </c>
    </row>
    <row r="323" spans="1:13" x14ac:dyDescent="0.3">
      <c r="A323" t="s">
        <v>961</v>
      </c>
      <c r="B323" t="s">
        <v>629</v>
      </c>
      <c r="C323" t="s">
        <v>635</v>
      </c>
      <c r="D323" t="s">
        <v>645</v>
      </c>
      <c r="E323" t="s">
        <v>631</v>
      </c>
      <c r="F323" t="s">
        <v>630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646</v>
      </c>
      <c r="M323" t="s">
        <v>633</v>
      </c>
    </row>
    <row r="324" spans="1:13" x14ac:dyDescent="0.3">
      <c r="A324" t="s">
        <v>962</v>
      </c>
      <c r="B324" t="s">
        <v>629</v>
      </c>
      <c r="C324" t="s">
        <v>635</v>
      </c>
      <c r="D324">
        <v>2</v>
      </c>
      <c r="E324" t="s">
        <v>640</v>
      </c>
      <c r="F324" t="s">
        <v>630</v>
      </c>
      <c r="G324">
        <v>3601</v>
      </c>
      <c r="H324">
        <v>1590</v>
      </c>
      <c r="J324">
        <v>360</v>
      </c>
      <c r="K324">
        <v>1</v>
      </c>
      <c r="L324" t="s">
        <v>636</v>
      </c>
      <c r="M324" t="s">
        <v>633</v>
      </c>
    </row>
    <row r="325" spans="1:13" x14ac:dyDescent="0.3">
      <c r="A325" t="s">
        <v>963</v>
      </c>
      <c r="B325" t="s">
        <v>657</v>
      </c>
      <c r="C325" t="s">
        <v>630</v>
      </c>
      <c r="D325">
        <v>0</v>
      </c>
      <c r="E325" t="s">
        <v>631</v>
      </c>
      <c r="F325" t="s">
        <v>630</v>
      </c>
      <c r="G325">
        <v>3166</v>
      </c>
      <c r="H325">
        <v>2985</v>
      </c>
      <c r="I325">
        <v>132</v>
      </c>
      <c r="J325">
        <v>360</v>
      </c>
      <c r="L325" t="s">
        <v>636</v>
      </c>
      <c r="M325" t="s">
        <v>633</v>
      </c>
    </row>
    <row r="326" spans="1:13" x14ac:dyDescent="0.3">
      <c r="A326" t="s">
        <v>964</v>
      </c>
      <c r="B326" t="s">
        <v>629</v>
      </c>
      <c r="C326" t="s">
        <v>635</v>
      </c>
      <c r="D326" t="s">
        <v>645</v>
      </c>
      <c r="E326" t="s">
        <v>631</v>
      </c>
      <c r="F326" t="s">
        <v>630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636</v>
      </c>
      <c r="M326" t="s">
        <v>633</v>
      </c>
    </row>
    <row r="327" spans="1:13" x14ac:dyDescent="0.3">
      <c r="A327" t="s">
        <v>965</v>
      </c>
      <c r="B327" t="s">
        <v>629</v>
      </c>
      <c r="C327" t="s">
        <v>635</v>
      </c>
      <c r="D327">
        <v>1</v>
      </c>
      <c r="E327" t="s">
        <v>631</v>
      </c>
      <c r="F327" t="s">
        <v>635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636</v>
      </c>
      <c r="M327" t="s">
        <v>637</v>
      </c>
    </row>
    <row r="328" spans="1:13" x14ac:dyDescent="0.3">
      <c r="A328" t="s">
        <v>966</v>
      </c>
      <c r="B328" t="s">
        <v>629</v>
      </c>
      <c r="C328" t="s">
        <v>630</v>
      </c>
      <c r="D328">
        <v>0</v>
      </c>
      <c r="E328" t="s">
        <v>631</v>
      </c>
      <c r="F328" t="s">
        <v>630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636</v>
      </c>
      <c r="M328" t="s">
        <v>633</v>
      </c>
    </row>
    <row r="329" spans="1:13" x14ac:dyDescent="0.3">
      <c r="A329" t="s">
        <v>967</v>
      </c>
      <c r="B329" t="s">
        <v>629</v>
      </c>
      <c r="C329" t="s">
        <v>635</v>
      </c>
      <c r="D329">
        <v>0</v>
      </c>
      <c r="E329" t="s">
        <v>631</v>
      </c>
      <c r="F329" t="s">
        <v>635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646</v>
      </c>
      <c r="M329" t="s">
        <v>633</v>
      </c>
    </row>
    <row r="330" spans="1:13" x14ac:dyDescent="0.3">
      <c r="A330" t="s">
        <v>968</v>
      </c>
      <c r="B330" t="s">
        <v>657</v>
      </c>
      <c r="C330" t="s">
        <v>635</v>
      </c>
      <c r="D330">
        <v>0</v>
      </c>
      <c r="E330" t="s">
        <v>631</v>
      </c>
      <c r="F330" t="s">
        <v>630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632</v>
      </c>
      <c r="M330" t="s">
        <v>637</v>
      </c>
    </row>
    <row r="331" spans="1:13" x14ac:dyDescent="0.3">
      <c r="A331" t="s">
        <v>969</v>
      </c>
      <c r="B331" t="s">
        <v>657</v>
      </c>
      <c r="C331" t="s">
        <v>630</v>
      </c>
      <c r="D331">
        <v>0</v>
      </c>
      <c r="E331" t="s">
        <v>631</v>
      </c>
      <c r="F331" t="s">
        <v>630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632</v>
      </c>
      <c r="M331" t="s">
        <v>633</v>
      </c>
    </row>
    <row r="332" spans="1:13" x14ac:dyDescent="0.3">
      <c r="A332" t="s">
        <v>970</v>
      </c>
      <c r="B332" t="s">
        <v>629</v>
      </c>
      <c r="C332" t="s">
        <v>630</v>
      </c>
      <c r="D332">
        <v>1</v>
      </c>
      <c r="E332" t="s">
        <v>631</v>
      </c>
      <c r="F332" t="s">
        <v>630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632</v>
      </c>
      <c r="M332" t="s">
        <v>633</v>
      </c>
    </row>
    <row r="333" spans="1:13" x14ac:dyDescent="0.3">
      <c r="A333" t="s">
        <v>971</v>
      </c>
      <c r="B333" t="s">
        <v>629</v>
      </c>
      <c r="C333" t="s">
        <v>630</v>
      </c>
      <c r="D333">
        <v>0</v>
      </c>
      <c r="E333" t="s">
        <v>631</v>
      </c>
      <c r="F333" t="s">
        <v>630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646</v>
      </c>
      <c r="M333" t="s">
        <v>633</v>
      </c>
    </row>
    <row r="334" spans="1:13" x14ac:dyDescent="0.3">
      <c r="A334" t="s">
        <v>972</v>
      </c>
      <c r="B334" t="s">
        <v>629</v>
      </c>
      <c r="C334" t="s">
        <v>630</v>
      </c>
      <c r="E334" t="s">
        <v>631</v>
      </c>
      <c r="F334" t="s">
        <v>630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632</v>
      </c>
      <c r="M334" t="s">
        <v>633</v>
      </c>
    </row>
    <row r="335" spans="1:13" x14ac:dyDescent="0.3">
      <c r="A335" t="s">
        <v>973</v>
      </c>
      <c r="B335" t="s">
        <v>629</v>
      </c>
      <c r="C335" t="s">
        <v>635</v>
      </c>
      <c r="D335">
        <v>0</v>
      </c>
      <c r="E335" t="s">
        <v>631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632</v>
      </c>
      <c r="M335" t="s">
        <v>633</v>
      </c>
    </row>
    <row r="336" spans="1:13" x14ac:dyDescent="0.3">
      <c r="A336" t="s">
        <v>974</v>
      </c>
      <c r="C336" t="s">
        <v>635</v>
      </c>
      <c r="D336">
        <v>1</v>
      </c>
      <c r="E336" t="s">
        <v>631</v>
      </c>
      <c r="F336" t="s">
        <v>635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632</v>
      </c>
      <c r="M336" t="s">
        <v>633</v>
      </c>
    </row>
    <row r="337" spans="1:13" x14ac:dyDescent="0.3">
      <c r="A337" t="s">
        <v>975</v>
      </c>
      <c r="B337" t="s">
        <v>629</v>
      </c>
      <c r="C337" t="s">
        <v>635</v>
      </c>
      <c r="E337" t="s">
        <v>631</v>
      </c>
      <c r="F337" t="s">
        <v>635</v>
      </c>
      <c r="G337">
        <v>5503</v>
      </c>
      <c r="H337">
        <v>4490</v>
      </c>
      <c r="I337">
        <v>70</v>
      </c>
      <c r="K337">
        <v>1</v>
      </c>
      <c r="L337" t="s">
        <v>646</v>
      </c>
      <c r="M337" t="s">
        <v>633</v>
      </c>
    </row>
    <row r="338" spans="1:13" x14ac:dyDescent="0.3">
      <c r="A338" t="s">
        <v>976</v>
      </c>
      <c r="B338" t="s">
        <v>629</v>
      </c>
      <c r="C338" t="s">
        <v>635</v>
      </c>
      <c r="D338">
        <v>1</v>
      </c>
      <c r="E338" t="s">
        <v>631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636</v>
      </c>
      <c r="M338" t="s">
        <v>633</v>
      </c>
    </row>
    <row r="339" spans="1:13" x14ac:dyDescent="0.3">
      <c r="A339" t="s">
        <v>977</v>
      </c>
      <c r="B339" t="s">
        <v>629</v>
      </c>
      <c r="C339" t="s">
        <v>635</v>
      </c>
      <c r="D339">
        <v>2</v>
      </c>
      <c r="E339" t="s">
        <v>631</v>
      </c>
      <c r="F339" t="s">
        <v>635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636</v>
      </c>
      <c r="M339" t="s">
        <v>633</v>
      </c>
    </row>
    <row r="340" spans="1:13" x14ac:dyDescent="0.3">
      <c r="A340" t="s">
        <v>978</v>
      </c>
      <c r="B340" t="s">
        <v>657</v>
      </c>
      <c r="C340" t="s">
        <v>630</v>
      </c>
      <c r="D340" t="s">
        <v>645</v>
      </c>
      <c r="E340" t="s">
        <v>640</v>
      </c>
      <c r="F340" t="s">
        <v>630</v>
      </c>
      <c r="G340">
        <v>1830</v>
      </c>
      <c r="H340">
        <v>0</v>
      </c>
      <c r="J340">
        <v>360</v>
      </c>
      <c r="K340">
        <v>0</v>
      </c>
      <c r="L340" t="s">
        <v>632</v>
      </c>
      <c r="M340" t="s">
        <v>637</v>
      </c>
    </row>
    <row r="341" spans="1:13" x14ac:dyDescent="0.3">
      <c r="A341" t="s">
        <v>979</v>
      </c>
      <c r="B341" t="s">
        <v>657</v>
      </c>
      <c r="C341" t="s">
        <v>630</v>
      </c>
      <c r="D341">
        <v>0</v>
      </c>
      <c r="E341" t="s">
        <v>631</v>
      </c>
      <c r="F341" t="s">
        <v>630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646</v>
      </c>
      <c r="M341" t="s">
        <v>633</v>
      </c>
    </row>
    <row r="342" spans="1:13" x14ac:dyDescent="0.3">
      <c r="A342" t="s">
        <v>980</v>
      </c>
      <c r="B342" t="s">
        <v>629</v>
      </c>
      <c r="C342" t="s">
        <v>635</v>
      </c>
      <c r="D342" t="s">
        <v>645</v>
      </c>
      <c r="E342" t="s">
        <v>640</v>
      </c>
      <c r="F342" t="s">
        <v>630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636</v>
      </c>
      <c r="M342" t="s">
        <v>637</v>
      </c>
    </row>
    <row r="343" spans="1:13" x14ac:dyDescent="0.3">
      <c r="A343" t="s">
        <v>981</v>
      </c>
      <c r="B343" t="s">
        <v>657</v>
      </c>
      <c r="C343" t="s">
        <v>630</v>
      </c>
      <c r="D343">
        <v>0</v>
      </c>
      <c r="E343" t="s">
        <v>631</v>
      </c>
      <c r="F343" t="s">
        <v>630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636</v>
      </c>
      <c r="M343" t="s">
        <v>637</v>
      </c>
    </row>
    <row r="344" spans="1:13" x14ac:dyDescent="0.3">
      <c r="A344" t="s">
        <v>982</v>
      </c>
      <c r="B344" t="s">
        <v>629</v>
      </c>
      <c r="C344" t="s">
        <v>635</v>
      </c>
      <c r="D344">
        <v>1</v>
      </c>
      <c r="E344" t="s">
        <v>640</v>
      </c>
      <c r="F344" t="s">
        <v>630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632</v>
      </c>
      <c r="M344" t="s">
        <v>633</v>
      </c>
    </row>
    <row r="345" spans="1:13" x14ac:dyDescent="0.3">
      <c r="A345" t="s">
        <v>983</v>
      </c>
      <c r="B345" t="s">
        <v>629</v>
      </c>
      <c r="C345" t="s">
        <v>635</v>
      </c>
      <c r="D345" t="s">
        <v>645</v>
      </c>
      <c r="E345" t="s">
        <v>640</v>
      </c>
      <c r="F345" t="s">
        <v>630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646</v>
      </c>
      <c r="M345" t="s">
        <v>633</v>
      </c>
    </row>
    <row r="346" spans="1:13" x14ac:dyDescent="0.3">
      <c r="A346" t="s">
        <v>984</v>
      </c>
      <c r="B346" t="s">
        <v>629</v>
      </c>
      <c r="C346" t="s">
        <v>635</v>
      </c>
      <c r="D346">
        <v>2</v>
      </c>
      <c r="E346" t="s">
        <v>631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636</v>
      </c>
      <c r="M346" t="s">
        <v>633</v>
      </c>
    </row>
    <row r="347" spans="1:13" x14ac:dyDescent="0.3">
      <c r="A347" t="s">
        <v>985</v>
      </c>
      <c r="B347" t="s">
        <v>629</v>
      </c>
      <c r="C347" t="s">
        <v>635</v>
      </c>
      <c r="D347">
        <v>0</v>
      </c>
      <c r="E347" t="s">
        <v>631</v>
      </c>
      <c r="F347" t="s">
        <v>630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646</v>
      </c>
      <c r="M347" t="s">
        <v>633</v>
      </c>
    </row>
    <row r="348" spans="1:13" x14ac:dyDescent="0.3">
      <c r="A348" t="s">
        <v>986</v>
      </c>
      <c r="B348" t="s">
        <v>629</v>
      </c>
      <c r="C348" t="s">
        <v>635</v>
      </c>
      <c r="E348" t="s">
        <v>640</v>
      </c>
      <c r="F348" t="s">
        <v>630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636</v>
      </c>
      <c r="M348" t="s">
        <v>637</v>
      </c>
    </row>
    <row r="349" spans="1:13" x14ac:dyDescent="0.3">
      <c r="A349" t="s">
        <v>987</v>
      </c>
      <c r="B349" t="s">
        <v>629</v>
      </c>
      <c r="C349" t="s">
        <v>635</v>
      </c>
      <c r="D349">
        <v>2</v>
      </c>
      <c r="E349" t="s">
        <v>640</v>
      </c>
      <c r="F349" t="s">
        <v>630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632</v>
      </c>
      <c r="M349" t="s">
        <v>633</v>
      </c>
    </row>
    <row r="350" spans="1:13" x14ac:dyDescent="0.3">
      <c r="A350" t="s">
        <v>988</v>
      </c>
      <c r="B350" t="s">
        <v>629</v>
      </c>
      <c r="C350" t="s">
        <v>635</v>
      </c>
      <c r="D350">
        <v>0</v>
      </c>
      <c r="E350" t="s">
        <v>631</v>
      </c>
      <c r="F350" t="s">
        <v>630</v>
      </c>
      <c r="G350">
        <v>6333</v>
      </c>
      <c r="H350">
        <v>4583</v>
      </c>
      <c r="I350">
        <v>259</v>
      </c>
      <c r="J350">
        <v>360</v>
      </c>
      <c r="L350" t="s">
        <v>646</v>
      </c>
      <c r="M350" t="s">
        <v>633</v>
      </c>
    </row>
    <row r="351" spans="1:13" x14ac:dyDescent="0.3">
      <c r="A351" t="s">
        <v>989</v>
      </c>
      <c r="B351" t="s">
        <v>629</v>
      </c>
      <c r="C351" t="s">
        <v>635</v>
      </c>
      <c r="D351">
        <v>0</v>
      </c>
      <c r="E351" t="s">
        <v>631</v>
      </c>
      <c r="F351" t="s">
        <v>630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636</v>
      </c>
      <c r="M351" t="s">
        <v>633</v>
      </c>
    </row>
    <row r="352" spans="1:13" x14ac:dyDescent="0.3">
      <c r="A352" t="s">
        <v>990</v>
      </c>
      <c r="B352" t="s">
        <v>629</v>
      </c>
      <c r="C352" t="s">
        <v>635</v>
      </c>
      <c r="D352">
        <v>0</v>
      </c>
      <c r="E352" t="s">
        <v>631</v>
      </c>
      <c r="F352" t="s">
        <v>630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646</v>
      </c>
      <c r="M352" t="s">
        <v>633</v>
      </c>
    </row>
    <row r="353" spans="1:13" x14ac:dyDescent="0.3">
      <c r="A353" t="s">
        <v>991</v>
      </c>
      <c r="B353" t="s">
        <v>629</v>
      </c>
      <c r="C353" t="s">
        <v>630</v>
      </c>
      <c r="D353">
        <v>0</v>
      </c>
      <c r="E353" t="s">
        <v>631</v>
      </c>
      <c r="F353" t="s">
        <v>630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636</v>
      </c>
      <c r="M353" t="s">
        <v>637</v>
      </c>
    </row>
    <row r="354" spans="1:13" x14ac:dyDescent="0.3">
      <c r="A354" t="s">
        <v>992</v>
      </c>
      <c r="B354" t="s">
        <v>629</v>
      </c>
      <c r="C354" t="s">
        <v>635</v>
      </c>
      <c r="D354" t="s">
        <v>645</v>
      </c>
      <c r="E354" t="s">
        <v>631</v>
      </c>
      <c r="F354" t="s">
        <v>630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636</v>
      </c>
      <c r="M354" t="s">
        <v>633</v>
      </c>
    </row>
    <row r="355" spans="1:13" x14ac:dyDescent="0.3">
      <c r="A355" t="s">
        <v>993</v>
      </c>
      <c r="B355" t="s">
        <v>657</v>
      </c>
      <c r="C355" t="s">
        <v>635</v>
      </c>
      <c r="D355">
        <v>0</v>
      </c>
      <c r="E355" t="s">
        <v>631</v>
      </c>
      <c r="F355" t="s">
        <v>635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636</v>
      </c>
      <c r="M355" t="s">
        <v>637</v>
      </c>
    </row>
    <row r="356" spans="1:13" x14ac:dyDescent="0.3">
      <c r="A356" t="s">
        <v>994</v>
      </c>
      <c r="B356" t="s">
        <v>657</v>
      </c>
      <c r="C356" t="s">
        <v>635</v>
      </c>
      <c r="D356">
        <v>0</v>
      </c>
      <c r="E356" t="s">
        <v>631</v>
      </c>
      <c r="F356" t="s">
        <v>630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646</v>
      </c>
      <c r="M356" t="s">
        <v>633</v>
      </c>
    </row>
    <row r="357" spans="1:13" x14ac:dyDescent="0.3">
      <c r="A357" t="s">
        <v>995</v>
      </c>
      <c r="B357" t="s">
        <v>657</v>
      </c>
      <c r="C357" t="s">
        <v>630</v>
      </c>
      <c r="E357" t="s">
        <v>631</v>
      </c>
      <c r="F357" t="s">
        <v>630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632</v>
      </c>
      <c r="M357" t="s">
        <v>633</v>
      </c>
    </row>
    <row r="358" spans="1:13" x14ac:dyDescent="0.3">
      <c r="A358" t="s">
        <v>996</v>
      </c>
      <c r="B358" t="s">
        <v>629</v>
      </c>
      <c r="C358" t="s">
        <v>635</v>
      </c>
      <c r="D358">
        <v>2</v>
      </c>
      <c r="E358" t="s">
        <v>631</v>
      </c>
      <c r="F358" t="s">
        <v>630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636</v>
      </c>
      <c r="M358" t="s">
        <v>633</v>
      </c>
    </row>
    <row r="359" spans="1:13" x14ac:dyDescent="0.3">
      <c r="A359" t="s">
        <v>997</v>
      </c>
      <c r="B359" t="s">
        <v>629</v>
      </c>
      <c r="C359" t="s">
        <v>635</v>
      </c>
      <c r="D359">
        <v>1</v>
      </c>
      <c r="E359" t="s">
        <v>631</v>
      </c>
      <c r="F359" t="s">
        <v>630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632</v>
      </c>
      <c r="M359" t="s">
        <v>637</v>
      </c>
    </row>
    <row r="360" spans="1:13" x14ac:dyDescent="0.3">
      <c r="A360" t="s">
        <v>998</v>
      </c>
      <c r="B360" t="s">
        <v>629</v>
      </c>
      <c r="C360" t="s">
        <v>635</v>
      </c>
      <c r="D360">
        <v>0</v>
      </c>
      <c r="E360" t="s">
        <v>640</v>
      </c>
      <c r="F360" t="s">
        <v>630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632</v>
      </c>
      <c r="M360" t="s">
        <v>637</v>
      </c>
    </row>
    <row r="361" spans="1:13" x14ac:dyDescent="0.3">
      <c r="A361" t="s">
        <v>999</v>
      </c>
      <c r="B361" t="s">
        <v>629</v>
      </c>
      <c r="C361" t="s">
        <v>635</v>
      </c>
      <c r="D361" t="s">
        <v>645</v>
      </c>
      <c r="E361" t="s">
        <v>631</v>
      </c>
      <c r="F361" t="s">
        <v>630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646</v>
      </c>
      <c r="M361" t="s">
        <v>633</v>
      </c>
    </row>
    <row r="362" spans="1:13" x14ac:dyDescent="0.3">
      <c r="A362" t="s">
        <v>1000</v>
      </c>
      <c r="B362" t="s">
        <v>657</v>
      </c>
      <c r="C362" t="s">
        <v>630</v>
      </c>
      <c r="D362">
        <v>1</v>
      </c>
      <c r="E362" t="s">
        <v>631</v>
      </c>
      <c r="F362" t="s">
        <v>630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646</v>
      </c>
      <c r="M362" t="s">
        <v>637</v>
      </c>
    </row>
    <row r="363" spans="1:13" x14ac:dyDescent="0.3">
      <c r="A363" t="s">
        <v>1001</v>
      </c>
      <c r="B363" t="s">
        <v>629</v>
      </c>
      <c r="C363" t="s">
        <v>635</v>
      </c>
      <c r="D363">
        <v>2</v>
      </c>
      <c r="E363" t="s">
        <v>631</v>
      </c>
      <c r="F363" t="s">
        <v>630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646</v>
      </c>
      <c r="M363" t="s">
        <v>633</v>
      </c>
    </row>
    <row r="364" spans="1:13" x14ac:dyDescent="0.3">
      <c r="A364" t="s">
        <v>1002</v>
      </c>
      <c r="B364" t="s">
        <v>629</v>
      </c>
      <c r="C364" t="s">
        <v>635</v>
      </c>
      <c r="D364">
        <v>0</v>
      </c>
      <c r="E364" t="s">
        <v>631</v>
      </c>
      <c r="F364" t="s">
        <v>630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632</v>
      </c>
      <c r="M364" t="s">
        <v>633</v>
      </c>
    </row>
    <row r="365" spans="1:13" x14ac:dyDescent="0.3">
      <c r="A365" t="s">
        <v>1003</v>
      </c>
      <c r="B365" t="s">
        <v>629</v>
      </c>
      <c r="C365" t="s">
        <v>635</v>
      </c>
      <c r="D365">
        <v>0</v>
      </c>
      <c r="E365" t="s">
        <v>631</v>
      </c>
      <c r="F365" t="s">
        <v>630</v>
      </c>
      <c r="G365">
        <v>3013</v>
      </c>
      <c r="H365">
        <v>3033</v>
      </c>
      <c r="I365">
        <v>95</v>
      </c>
      <c r="J365">
        <v>300</v>
      </c>
      <c r="L365" t="s">
        <v>632</v>
      </c>
      <c r="M365" t="s">
        <v>633</v>
      </c>
    </row>
    <row r="366" spans="1:13" x14ac:dyDescent="0.3">
      <c r="A366" t="s">
        <v>1004</v>
      </c>
      <c r="B366" t="s">
        <v>629</v>
      </c>
      <c r="C366" t="s">
        <v>630</v>
      </c>
      <c r="D366">
        <v>0</v>
      </c>
      <c r="E366" t="s">
        <v>631</v>
      </c>
      <c r="F366" t="s">
        <v>635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636</v>
      </c>
      <c r="M366" t="s">
        <v>633</v>
      </c>
    </row>
    <row r="367" spans="1:13" x14ac:dyDescent="0.3">
      <c r="A367" t="s">
        <v>1005</v>
      </c>
      <c r="B367" t="s">
        <v>629</v>
      </c>
      <c r="C367" t="s">
        <v>630</v>
      </c>
      <c r="D367">
        <v>0</v>
      </c>
      <c r="E367" t="s">
        <v>640</v>
      </c>
      <c r="F367" t="s">
        <v>630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636</v>
      </c>
      <c r="M367" t="s">
        <v>637</v>
      </c>
    </row>
    <row r="368" spans="1:13" x14ac:dyDescent="0.3">
      <c r="A368" t="s">
        <v>1006</v>
      </c>
      <c r="B368" t="s">
        <v>629</v>
      </c>
      <c r="C368" t="s">
        <v>630</v>
      </c>
      <c r="D368">
        <v>0</v>
      </c>
      <c r="E368" t="s">
        <v>631</v>
      </c>
      <c r="F368" t="s">
        <v>630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646</v>
      </c>
      <c r="M368" t="s">
        <v>637</v>
      </c>
    </row>
    <row r="369" spans="1:13" x14ac:dyDescent="0.3">
      <c r="A369" t="s">
        <v>1007</v>
      </c>
      <c r="B369" t="s">
        <v>629</v>
      </c>
      <c r="C369" t="s">
        <v>630</v>
      </c>
      <c r="D369">
        <v>0</v>
      </c>
      <c r="E369" t="s">
        <v>631</v>
      </c>
      <c r="F369" t="s">
        <v>630</v>
      </c>
      <c r="G369">
        <v>5124</v>
      </c>
      <c r="H369">
        <v>0</v>
      </c>
      <c r="I369">
        <v>124</v>
      </c>
      <c r="K369">
        <v>0</v>
      </c>
      <c r="L369" t="s">
        <v>636</v>
      </c>
      <c r="M369" t="s">
        <v>637</v>
      </c>
    </row>
    <row r="370" spans="1:13" x14ac:dyDescent="0.3">
      <c r="A370" t="s">
        <v>1008</v>
      </c>
      <c r="B370" t="s">
        <v>629</v>
      </c>
      <c r="C370" t="s">
        <v>635</v>
      </c>
      <c r="D370">
        <v>1</v>
      </c>
      <c r="E370" t="s">
        <v>631</v>
      </c>
      <c r="F370" t="s">
        <v>630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646</v>
      </c>
      <c r="M370" t="s">
        <v>633</v>
      </c>
    </row>
    <row r="371" spans="1:13" x14ac:dyDescent="0.3">
      <c r="A371" t="s">
        <v>1009</v>
      </c>
      <c r="B371" t="s">
        <v>629</v>
      </c>
      <c r="C371" t="s">
        <v>635</v>
      </c>
      <c r="D371">
        <v>0</v>
      </c>
      <c r="E371" t="s">
        <v>631</v>
      </c>
      <c r="F371" t="s">
        <v>630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636</v>
      </c>
      <c r="M371" t="s">
        <v>637</v>
      </c>
    </row>
    <row r="372" spans="1:13" x14ac:dyDescent="0.3">
      <c r="A372" t="s">
        <v>1010</v>
      </c>
      <c r="B372" t="s">
        <v>657</v>
      </c>
      <c r="C372" t="s">
        <v>630</v>
      </c>
      <c r="D372">
        <v>0</v>
      </c>
      <c r="E372" t="s">
        <v>631</v>
      </c>
      <c r="F372" t="s">
        <v>635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646</v>
      </c>
      <c r="M372" t="s">
        <v>633</v>
      </c>
    </row>
    <row r="373" spans="1:13" x14ac:dyDescent="0.3">
      <c r="A373" t="s">
        <v>1011</v>
      </c>
      <c r="B373" t="s">
        <v>629</v>
      </c>
      <c r="C373" t="s">
        <v>635</v>
      </c>
      <c r="D373">
        <v>2</v>
      </c>
      <c r="E373" t="s">
        <v>631</v>
      </c>
      <c r="F373" t="s">
        <v>630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646</v>
      </c>
      <c r="M373" t="s">
        <v>633</v>
      </c>
    </row>
    <row r="374" spans="1:13" x14ac:dyDescent="0.3">
      <c r="A374" t="s">
        <v>1012</v>
      </c>
      <c r="B374" t="s">
        <v>629</v>
      </c>
      <c r="C374" t="s">
        <v>635</v>
      </c>
      <c r="D374">
        <v>2</v>
      </c>
      <c r="E374" t="s">
        <v>631</v>
      </c>
      <c r="F374" t="s">
        <v>635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636</v>
      </c>
      <c r="M374" t="s">
        <v>633</v>
      </c>
    </row>
    <row r="375" spans="1:13" x14ac:dyDescent="0.3">
      <c r="A375" t="s">
        <v>1013</v>
      </c>
      <c r="B375" t="s">
        <v>629</v>
      </c>
      <c r="C375" t="s">
        <v>630</v>
      </c>
      <c r="D375">
        <v>1</v>
      </c>
      <c r="E375" t="s">
        <v>631</v>
      </c>
      <c r="F375" t="s">
        <v>630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632</v>
      </c>
      <c r="M375" t="s">
        <v>637</v>
      </c>
    </row>
    <row r="376" spans="1:13" x14ac:dyDescent="0.3">
      <c r="A376" t="s">
        <v>1014</v>
      </c>
      <c r="B376" t="s">
        <v>657</v>
      </c>
      <c r="C376" t="s">
        <v>630</v>
      </c>
      <c r="D376">
        <v>0</v>
      </c>
      <c r="E376" t="s">
        <v>631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632</v>
      </c>
      <c r="M376" t="s">
        <v>633</v>
      </c>
    </row>
    <row r="377" spans="1:13" x14ac:dyDescent="0.3">
      <c r="A377" t="s">
        <v>1015</v>
      </c>
      <c r="B377" t="s">
        <v>629</v>
      </c>
      <c r="C377" t="s">
        <v>635</v>
      </c>
      <c r="D377">
        <v>0</v>
      </c>
      <c r="E377" t="s">
        <v>631</v>
      </c>
      <c r="F377" t="s">
        <v>630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632</v>
      </c>
      <c r="M377" t="s">
        <v>633</v>
      </c>
    </row>
    <row r="378" spans="1:13" x14ac:dyDescent="0.3">
      <c r="A378" t="s">
        <v>1016</v>
      </c>
      <c r="B378" t="s">
        <v>629</v>
      </c>
      <c r="C378" t="s">
        <v>635</v>
      </c>
      <c r="D378" t="s">
        <v>645</v>
      </c>
      <c r="E378" t="s">
        <v>631</v>
      </c>
      <c r="F378" t="s">
        <v>630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636</v>
      </c>
      <c r="M378" t="s">
        <v>633</v>
      </c>
    </row>
    <row r="379" spans="1:13" x14ac:dyDescent="0.3">
      <c r="A379" t="s">
        <v>1017</v>
      </c>
      <c r="B379" t="s">
        <v>629</v>
      </c>
      <c r="C379" t="s">
        <v>635</v>
      </c>
      <c r="D379">
        <v>0</v>
      </c>
      <c r="E379" t="s">
        <v>631</v>
      </c>
      <c r="F379" t="s">
        <v>630</v>
      </c>
      <c r="G379">
        <v>4310</v>
      </c>
      <c r="H379">
        <v>0</v>
      </c>
      <c r="I379">
        <v>130</v>
      </c>
      <c r="J379">
        <v>360</v>
      </c>
      <c r="L379" t="s">
        <v>646</v>
      </c>
      <c r="M379" t="s">
        <v>633</v>
      </c>
    </row>
    <row r="380" spans="1:13" x14ac:dyDescent="0.3">
      <c r="A380" t="s">
        <v>1018</v>
      </c>
      <c r="B380" t="s">
        <v>629</v>
      </c>
      <c r="C380" t="s">
        <v>630</v>
      </c>
      <c r="D380">
        <v>0</v>
      </c>
      <c r="E380" t="s">
        <v>631</v>
      </c>
      <c r="F380" t="s">
        <v>630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632</v>
      </c>
      <c r="M380" t="s">
        <v>637</v>
      </c>
    </row>
    <row r="381" spans="1:13" x14ac:dyDescent="0.3">
      <c r="A381" t="s">
        <v>1019</v>
      </c>
      <c r="B381" t="s">
        <v>629</v>
      </c>
      <c r="C381" t="s">
        <v>635</v>
      </c>
      <c r="D381">
        <v>2</v>
      </c>
      <c r="E381" t="s">
        <v>631</v>
      </c>
      <c r="F381" t="s">
        <v>630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632</v>
      </c>
      <c r="M381" t="s">
        <v>633</v>
      </c>
    </row>
    <row r="382" spans="1:13" x14ac:dyDescent="0.3">
      <c r="A382" t="s">
        <v>1020</v>
      </c>
      <c r="B382" t="s">
        <v>629</v>
      </c>
      <c r="C382" t="s">
        <v>635</v>
      </c>
      <c r="D382">
        <v>0</v>
      </c>
      <c r="E382" t="s">
        <v>631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646</v>
      </c>
      <c r="M382" t="s">
        <v>633</v>
      </c>
    </row>
    <row r="383" spans="1:13" x14ac:dyDescent="0.3">
      <c r="A383" t="s">
        <v>1021</v>
      </c>
      <c r="B383" t="s">
        <v>629</v>
      </c>
      <c r="C383" t="s">
        <v>630</v>
      </c>
      <c r="D383">
        <v>0</v>
      </c>
      <c r="E383" t="s">
        <v>631</v>
      </c>
      <c r="F383" t="s">
        <v>630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646</v>
      </c>
      <c r="M383" t="s">
        <v>633</v>
      </c>
    </row>
    <row r="384" spans="1:13" x14ac:dyDescent="0.3">
      <c r="A384" t="s">
        <v>1022</v>
      </c>
      <c r="B384" t="s">
        <v>657</v>
      </c>
      <c r="C384" t="s">
        <v>630</v>
      </c>
      <c r="D384">
        <v>0</v>
      </c>
      <c r="E384" t="s">
        <v>631</v>
      </c>
      <c r="F384" t="s">
        <v>630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632</v>
      </c>
      <c r="M384" t="s">
        <v>633</v>
      </c>
    </row>
    <row r="385" spans="1:13" x14ac:dyDescent="0.3">
      <c r="A385" t="s">
        <v>1023</v>
      </c>
      <c r="B385" t="s">
        <v>629</v>
      </c>
      <c r="C385" t="s">
        <v>630</v>
      </c>
      <c r="D385">
        <v>0</v>
      </c>
      <c r="E385" t="s">
        <v>631</v>
      </c>
      <c r="F385" t="s">
        <v>635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632</v>
      </c>
      <c r="M385" t="s">
        <v>633</v>
      </c>
    </row>
    <row r="386" spans="1:13" x14ac:dyDescent="0.3">
      <c r="A386" t="s">
        <v>1024</v>
      </c>
      <c r="B386" t="s">
        <v>629</v>
      </c>
      <c r="C386" t="s">
        <v>635</v>
      </c>
      <c r="D386">
        <v>2</v>
      </c>
      <c r="E386" t="s">
        <v>631</v>
      </c>
      <c r="F386" t="s">
        <v>630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632</v>
      </c>
      <c r="M386" t="s">
        <v>637</v>
      </c>
    </row>
    <row r="387" spans="1:13" x14ac:dyDescent="0.3">
      <c r="A387" t="s">
        <v>1025</v>
      </c>
      <c r="B387" t="s">
        <v>629</v>
      </c>
      <c r="C387" t="s">
        <v>630</v>
      </c>
      <c r="D387">
        <v>1</v>
      </c>
      <c r="E387" t="s">
        <v>631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632</v>
      </c>
      <c r="M387" t="s">
        <v>633</v>
      </c>
    </row>
    <row r="388" spans="1:13" x14ac:dyDescent="0.3">
      <c r="A388" t="s">
        <v>1026</v>
      </c>
      <c r="B388" t="s">
        <v>629</v>
      </c>
      <c r="C388" t="s">
        <v>630</v>
      </c>
      <c r="D388">
        <v>0</v>
      </c>
      <c r="E388" t="s">
        <v>640</v>
      </c>
      <c r="F388" t="s">
        <v>630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646</v>
      </c>
      <c r="M388" t="s">
        <v>633</v>
      </c>
    </row>
    <row r="389" spans="1:13" x14ac:dyDescent="0.3">
      <c r="A389" t="s">
        <v>1027</v>
      </c>
      <c r="B389" t="s">
        <v>629</v>
      </c>
      <c r="C389" t="s">
        <v>635</v>
      </c>
      <c r="D389">
        <v>0</v>
      </c>
      <c r="E389" t="s">
        <v>640</v>
      </c>
      <c r="F389" t="s">
        <v>630</v>
      </c>
      <c r="G389">
        <v>3010</v>
      </c>
      <c r="H389">
        <v>3136</v>
      </c>
      <c r="J389">
        <v>360</v>
      </c>
      <c r="K389">
        <v>0</v>
      </c>
      <c r="L389" t="s">
        <v>632</v>
      </c>
      <c r="M389" t="s">
        <v>637</v>
      </c>
    </row>
    <row r="390" spans="1:13" x14ac:dyDescent="0.3">
      <c r="A390" t="s">
        <v>1028</v>
      </c>
      <c r="B390" t="s">
        <v>629</v>
      </c>
      <c r="C390" t="s">
        <v>635</v>
      </c>
      <c r="D390">
        <v>0</v>
      </c>
      <c r="E390" t="s">
        <v>631</v>
      </c>
      <c r="F390" t="s">
        <v>630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632</v>
      </c>
      <c r="M390" t="s">
        <v>633</v>
      </c>
    </row>
    <row r="391" spans="1:13" x14ac:dyDescent="0.3">
      <c r="A391" t="s">
        <v>1029</v>
      </c>
      <c r="B391" t="s">
        <v>629</v>
      </c>
      <c r="C391" t="s">
        <v>635</v>
      </c>
      <c r="D391">
        <v>0</v>
      </c>
      <c r="E391" t="s">
        <v>631</v>
      </c>
      <c r="F391" t="s">
        <v>630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636</v>
      </c>
      <c r="M391" t="s">
        <v>633</v>
      </c>
    </row>
    <row r="392" spans="1:13" x14ac:dyDescent="0.3">
      <c r="A392" t="s">
        <v>1030</v>
      </c>
      <c r="B392" t="s">
        <v>629</v>
      </c>
      <c r="C392" t="s">
        <v>630</v>
      </c>
      <c r="D392" t="s">
        <v>645</v>
      </c>
      <c r="E392" t="s">
        <v>631</v>
      </c>
      <c r="F392" t="s">
        <v>630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636</v>
      </c>
      <c r="M392" t="s">
        <v>633</v>
      </c>
    </row>
    <row r="393" spans="1:13" x14ac:dyDescent="0.3">
      <c r="A393" t="s">
        <v>1031</v>
      </c>
      <c r="B393" t="s">
        <v>629</v>
      </c>
      <c r="C393" t="s">
        <v>635</v>
      </c>
      <c r="D393" t="s">
        <v>645</v>
      </c>
      <c r="E393" t="s">
        <v>631</v>
      </c>
      <c r="F393" t="s">
        <v>630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636</v>
      </c>
      <c r="M393" t="s">
        <v>633</v>
      </c>
    </row>
    <row r="394" spans="1:13" x14ac:dyDescent="0.3">
      <c r="A394" t="s">
        <v>1032</v>
      </c>
      <c r="B394" t="s">
        <v>629</v>
      </c>
      <c r="C394" t="s">
        <v>635</v>
      </c>
      <c r="D394">
        <v>0</v>
      </c>
      <c r="E394" t="s">
        <v>631</v>
      </c>
      <c r="F394" t="s">
        <v>630</v>
      </c>
      <c r="G394">
        <v>2583</v>
      </c>
      <c r="H394">
        <v>2115</v>
      </c>
      <c r="I394">
        <v>120</v>
      </c>
      <c r="J394">
        <v>360</v>
      </c>
      <c r="L394" t="s">
        <v>632</v>
      </c>
      <c r="M394" t="s">
        <v>633</v>
      </c>
    </row>
    <row r="395" spans="1:13" x14ac:dyDescent="0.3">
      <c r="A395" t="s">
        <v>1033</v>
      </c>
      <c r="B395" t="s">
        <v>629</v>
      </c>
      <c r="C395" t="s">
        <v>635</v>
      </c>
      <c r="D395">
        <v>2</v>
      </c>
      <c r="E395" t="s">
        <v>640</v>
      </c>
      <c r="F395" t="s">
        <v>630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646</v>
      </c>
      <c r="M395" t="s">
        <v>633</v>
      </c>
    </row>
    <row r="396" spans="1:13" x14ac:dyDescent="0.3">
      <c r="A396" t="s">
        <v>1034</v>
      </c>
      <c r="B396" t="s">
        <v>629</v>
      </c>
      <c r="C396" t="s">
        <v>635</v>
      </c>
      <c r="D396">
        <v>2</v>
      </c>
      <c r="E396" t="s">
        <v>631</v>
      </c>
      <c r="F396" t="s">
        <v>630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632</v>
      </c>
      <c r="M396" t="s">
        <v>633</v>
      </c>
    </row>
    <row r="397" spans="1:13" x14ac:dyDescent="0.3">
      <c r="A397" t="s">
        <v>1035</v>
      </c>
      <c r="B397" t="s">
        <v>629</v>
      </c>
      <c r="C397" t="s">
        <v>635</v>
      </c>
      <c r="D397">
        <v>2</v>
      </c>
      <c r="E397" t="s">
        <v>631</v>
      </c>
      <c r="F397" t="s">
        <v>630</v>
      </c>
      <c r="G397">
        <v>3276</v>
      </c>
      <c r="H397">
        <v>484</v>
      </c>
      <c r="I397">
        <v>135</v>
      </c>
      <c r="J397">
        <v>360</v>
      </c>
      <c r="L397" t="s">
        <v>646</v>
      </c>
      <c r="M397" t="s">
        <v>633</v>
      </c>
    </row>
    <row r="398" spans="1:13" x14ac:dyDescent="0.3">
      <c r="A398" t="s">
        <v>1036</v>
      </c>
      <c r="B398" t="s">
        <v>657</v>
      </c>
      <c r="C398" t="s">
        <v>630</v>
      </c>
      <c r="D398">
        <v>0</v>
      </c>
      <c r="E398" t="s">
        <v>631</v>
      </c>
      <c r="F398" t="s">
        <v>630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632</v>
      </c>
      <c r="M398" t="s">
        <v>637</v>
      </c>
    </row>
    <row r="399" spans="1:13" x14ac:dyDescent="0.3">
      <c r="A399" t="s">
        <v>1037</v>
      </c>
      <c r="B399" t="s">
        <v>629</v>
      </c>
      <c r="C399" t="s">
        <v>635</v>
      </c>
      <c r="D399">
        <v>0</v>
      </c>
      <c r="E399" t="s">
        <v>631</v>
      </c>
      <c r="F399" t="s">
        <v>630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632</v>
      </c>
      <c r="M399" t="s">
        <v>633</v>
      </c>
    </row>
    <row r="400" spans="1:13" x14ac:dyDescent="0.3">
      <c r="A400" t="s">
        <v>1038</v>
      </c>
      <c r="B400" t="s">
        <v>629</v>
      </c>
      <c r="C400" t="s">
        <v>630</v>
      </c>
      <c r="D400">
        <v>0</v>
      </c>
      <c r="E400" t="s">
        <v>640</v>
      </c>
      <c r="F400" t="s">
        <v>630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636</v>
      </c>
      <c r="M400" t="s">
        <v>633</v>
      </c>
    </row>
    <row r="401" spans="1:13" x14ac:dyDescent="0.3">
      <c r="A401" t="s">
        <v>1039</v>
      </c>
      <c r="B401" t="s">
        <v>657</v>
      </c>
      <c r="C401" t="s">
        <v>630</v>
      </c>
      <c r="D401">
        <v>0</v>
      </c>
      <c r="E401" t="s">
        <v>631</v>
      </c>
      <c r="F401" t="s">
        <v>630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646</v>
      </c>
      <c r="M401" t="s">
        <v>637</v>
      </c>
    </row>
    <row r="402" spans="1:13" x14ac:dyDescent="0.3">
      <c r="A402" t="s">
        <v>1040</v>
      </c>
      <c r="B402" t="s">
        <v>629</v>
      </c>
      <c r="C402" t="s">
        <v>635</v>
      </c>
      <c r="D402">
        <v>2</v>
      </c>
      <c r="E402" t="s">
        <v>640</v>
      </c>
      <c r="F402" t="s">
        <v>630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632</v>
      </c>
      <c r="M402" t="s">
        <v>637</v>
      </c>
    </row>
    <row r="403" spans="1:13" x14ac:dyDescent="0.3">
      <c r="A403" t="s">
        <v>1041</v>
      </c>
      <c r="B403" t="s">
        <v>629</v>
      </c>
      <c r="C403" t="s">
        <v>630</v>
      </c>
      <c r="D403">
        <v>0</v>
      </c>
      <c r="E403" t="s">
        <v>640</v>
      </c>
      <c r="F403" t="s">
        <v>630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636</v>
      </c>
      <c r="M403" t="s">
        <v>637</v>
      </c>
    </row>
    <row r="404" spans="1:13" x14ac:dyDescent="0.3">
      <c r="A404" t="s">
        <v>1042</v>
      </c>
      <c r="B404" t="s">
        <v>629</v>
      </c>
      <c r="C404" t="s">
        <v>630</v>
      </c>
      <c r="D404">
        <v>0</v>
      </c>
      <c r="E404" t="s">
        <v>631</v>
      </c>
      <c r="F404" t="s">
        <v>630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646</v>
      </c>
      <c r="M404" t="s">
        <v>633</v>
      </c>
    </row>
    <row r="405" spans="1:13" x14ac:dyDescent="0.3">
      <c r="A405" t="s">
        <v>1043</v>
      </c>
      <c r="B405" t="s">
        <v>657</v>
      </c>
      <c r="C405" t="s">
        <v>630</v>
      </c>
      <c r="D405">
        <v>0</v>
      </c>
      <c r="E405" t="s">
        <v>640</v>
      </c>
      <c r="F405" t="s">
        <v>630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646</v>
      </c>
      <c r="M405" t="s">
        <v>633</v>
      </c>
    </row>
    <row r="406" spans="1:13" x14ac:dyDescent="0.3">
      <c r="A406" t="s">
        <v>1044</v>
      </c>
      <c r="B406" t="s">
        <v>657</v>
      </c>
      <c r="C406" t="s">
        <v>630</v>
      </c>
      <c r="D406">
        <v>0</v>
      </c>
      <c r="E406" t="s">
        <v>631</v>
      </c>
      <c r="F406" t="s">
        <v>635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636</v>
      </c>
      <c r="M406" t="s">
        <v>637</v>
      </c>
    </row>
    <row r="407" spans="1:13" x14ac:dyDescent="0.3">
      <c r="A407" t="s">
        <v>1045</v>
      </c>
      <c r="B407" t="s">
        <v>657</v>
      </c>
      <c r="C407" t="s">
        <v>630</v>
      </c>
      <c r="D407">
        <v>0</v>
      </c>
      <c r="E407" t="s">
        <v>631</v>
      </c>
      <c r="F407" t="s">
        <v>630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646</v>
      </c>
      <c r="M407" t="s">
        <v>633</v>
      </c>
    </row>
    <row r="408" spans="1:13" x14ac:dyDescent="0.3">
      <c r="A408" t="s">
        <v>1046</v>
      </c>
      <c r="B408" t="s">
        <v>629</v>
      </c>
      <c r="C408" t="s">
        <v>635</v>
      </c>
      <c r="D408">
        <v>0</v>
      </c>
      <c r="E408" t="s">
        <v>640</v>
      </c>
      <c r="F408" t="s">
        <v>630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632</v>
      </c>
      <c r="M408" t="s">
        <v>633</v>
      </c>
    </row>
    <row r="409" spans="1:13" x14ac:dyDescent="0.3">
      <c r="A409" t="s">
        <v>1047</v>
      </c>
      <c r="B409" t="s">
        <v>657</v>
      </c>
      <c r="C409" t="s">
        <v>630</v>
      </c>
      <c r="D409">
        <v>0</v>
      </c>
      <c r="E409" t="s">
        <v>640</v>
      </c>
      <c r="F409" t="s">
        <v>630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636</v>
      </c>
      <c r="M409" t="s">
        <v>633</v>
      </c>
    </row>
    <row r="410" spans="1:13" x14ac:dyDescent="0.3">
      <c r="A410" t="s">
        <v>1048</v>
      </c>
      <c r="B410" t="s">
        <v>629</v>
      </c>
      <c r="C410" t="s">
        <v>635</v>
      </c>
      <c r="D410">
        <v>1</v>
      </c>
      <c r="E410" t="s">
        <v>631</v>
      </c>
      <c r="F410" t="s">
        <v>630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646</v>
      </c>
      <c r="M410" t="s">
        <v>637</v>
      </c>
    </row>
    <row r="411" spans="1:13" x14ac:dyDescent="0.3">
      <c r="A411" t="s">
        <v>1049</v>
      </c>
      <c r="B411" t="s">
        <v>629</v>
      </c>
      <c r="C411" t="s">
        <v>635</v>
      </c>
      <c r="D411" t="s">
        <v>645</v>
      </c>
      <c r="E411" t="s">
        <v>631</v>
      </c>
      <c r="F411" t="s">
        <v>630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636</v>
      </c>
      <c r="M411" t="s">
        <v>637</v>
      </c>
    </row>
    <row r="412" spans="1:13" x14ac:dyDescent="0.3">
      <c r="A412" t="s">
        <v>1050</v>
      </c>
      <c r="B412" t="s">
        <v>657</v>
      </c>
      <c r="C412" t="s">
        <v>630</v>
      </c>
      <c r="D412">
        <v>1</v>
      </c>
      <c r="E412" t="s">
        <v>640</v>
      </c>
      <c r="F412" t="s">
        <v>635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646</v>
      </c>
      <c r="M412" t="s">
        <v>637</v>
      </c>
    </row>
    <row r="413" spans="1:13" x14ac:dyDescent="0.3">
      <c r="A413" t="s">
        <v>1051</v>
      </c>
      <c r="B413" t="s">
        <v>629</v>
      </c>
      <c r="C413" t="s">
        <v>635</v>
      </c>
      <c r="D413">
        <v>0</v>
      </c>
      <c r="E413" t="s">
        <v>631</v>
      </c>
      <c r="G413">
        <v>6256</v>
      </c>
      <c r="H413">
        <v>0</v>
      </c>
      <c r="I413">
        <v>160</v>
      </c>
      <c r="J413">
        <v>360</v>
      </c>
      <c r="L413" t="s">
        <v>632</v>
      </c>
      <c r="M413" t="s">
        <v>633</v>
      </c>
    </row>
    <row r="414" spans="1:13" x14ac:dyDescent="0.3">
      <c r="A414" t="s">
        <v>1052</v>
      </c>
      <c r="B414" t="s">
        <v>629</v>
      </c>
      <c r="C414" t="s">
        <v>635</v>
      </c>
      <c r="D414">
        <v>0</v>
      </c>
      <c r="E414" t="s">
        <v>640</v>
      </c>
      <c r="F414" t="s">
        <v>630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636</v>
      </c>
      <c r="M414" t="s">
        <v>637</v>
      </c>
    </row>
    <row r="415" spans="1:13" x14ac:dyDescent="0.3">
      <c r="A415" t="s">
        <v>1053</v>
      </c>
      <c r="B415" t="s">
        <v>629</v>
      </c>
      <c r="C415" t="s">
        <v>635</v>
      </c>
      <c r="D415">
        <v>0</v>
      </c>
      <c r="E415" t="s">
        <v>640</v>
      </c>
      <c r="F415" t="s">
        <v>630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636</v>
      </c>
      <c r="M415" t="s">
        <v>633</v>
      </c>
    </row>
    <row r="416" spans="1:13" x14ac:dyDescent="0.3">
      <c r="A416" t="s">
        <v>1054</v>
      </c>
      <c r="B416" t="s">
        <v>657</v>
      </c>
      <c r="C416" t="s">
        <v>635</v>
      </c>
      <c r="D416">
        <v>0</v>
      </c>
      <c r="E416" t="s">
        <v>640</v>
      </c>
      <c r="F416" t="s">
        <v>630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646</v>
      </c>
      <c r="M416" t="s">
        <v>637</v>
      </c>
    </row>
    <row r="417" spans="1:13" x14ac:dyDescent="0.3">
      <c r="A417" t="s">
        <v>1055</v>
      </c>
      <c r="B417" t="s">
        <v>657</v>
      </c>
      <c r="C417" t="s">
        <v>630</v>
      </c>
      <c r="D417">
        <v>0</v>
      </c>
      <c r="E417" t="s">
        <v>631</v>
      </c>
      <c r="F417" t="s">
        <v>630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632</v>
      </c>
      <c r="M417" t="s">
        <v>633</v>
      </c>
    </row>
    <row r="418" spans="1:13" x14ac:dyDescent="0.3">
      <c r="A418" t="s">
        <v>1056</v>
      </c>
      <c r="B418" t="s">
        <v>657</v>
      </c>
      <c r="C418" t="s">
        <v>630</v>
      </c>
      <c r="D418">
        <v>1</v>
      </c>
      <c r="E418" t="s">
        <v>631</v>
      </c>
      <c r="F418" t="s">
        <v>630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632</v>
      </c>
      <c r="M418" t="s">
        <v>637</v>
      </c>
    </row>
    <row r="419" spans="1:13" x14ac:dyDescent="0.3">
      <c r="A419" t="s">
        <v>1057</v>
      </c>
      <c r="B419" t="s">
        <v>629</v>
      </c>
      <c r="C419" t="s">
        <v>635</v>
      </c>
      <c r="D419">
        <v>2</v>
      </c>
      <c r="E419" t="s">
        <v>631</v>
      </c>
      <c r="F419" t="s">
        <v>635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632</v>
      </c>
      <c r="M419" t="s">
        <v>637</v>
      </c>
    </row>
    <row r="420" spans="1:13" x14ac:dyDescent="0.3">
      <c r="A420" t="s">
        <v>1058</v>
      </c>
      <c r="B420" t="s">
        <v>629</v>
      </c>
      <c r="C420" t="s">
        <v>635</v>
      </c>
      <c r="D420">
        <v>0</v>
      </c>
      <c r="E420" t="s">
        <v>631</v>
      </c>
      <c r="F420" t="s">
        <v>630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636</v>
      </c>
      <c r="M420" t="s">
        <v>633</v>
      </c>
    </row>
    <row r="421" spans="1:13" x14ac:dyDescent="0.3">
      <c r="A421" t="s">
        <v>1059</v>
      </c>
      <c r="B421" t="s">
        <v>629</v>
      </c>
      <c r="C421" t="s">
        <v>635</v>
      </c>
      <c r="D421">
        <v>0</v>
      </c>
      <c r="E421" t="s">
        <v>631</v>
      </c>
      <c r="F421" t="s">
        <v>630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646</v>
      </c>
      <c r="M421" t="s">
        <v>633</v>
      </c>
    </row>
    <row r="422" spans="1:13" x14ac:dyDescent="0.3">
      <c r="A422" t="s">
        <v>1060</v>
      </c>
      <c r="B422" t="s">
        <v>629</v>
      </c>
      <c r="C422" t="s">
        <v>635</v>
      </c>
      <c r="D422">
        <v>0</v>
      </c>
      <c r="E422" t="s">
        <v>631</v>
      </c>
      <c r="F422" t="s">
        <v>630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636</v>
      </c>
      <c r="M422" t="s">
        <v>633</v>
      </c>
    </row>
    <row r="423" spans="1:13" x14ac:dyDescent="0.3">
      <c r="A423" t="s">
        <v>1061</v>
      </c>
      <c r="B423" t="s">
        <v>657</v>
      </c>
      <c r="C423" t="s">
        <v>630</v>
      </c>
      <c r="D423">
        <v>0</v>
      </c>
      <c r="E423" t="s">
        <v>640</v>
      </c>
      <c r="F423" t="s">
        <v>630</v>
      </c>
      <c r="G423">
        <v>2720</v>
      </c>
      <c r="H423">
        <v>0</v>
      </c>
      <c r="I423">
        <v>80</v>
      </c>
      <c r="K423">
        <v>0</v>
      </c>
      <c r="L423" t="s">
        <v>632</v>
      </c>
      <c r="M423" t="s">
        <v>637</v>
      </c>
    </row>
    <row r="424" spans="1:13" x14ac:dyDescent="0.3">
      <c r="A424" t="s">
        <v>1062</v>
      </c>
      <c r="B424" t="s">
        <v>629</v>
      </c>
      <c r="C424" t="s">
        <v>635</v>
      </c>
      <c r="D424">
        <v>0</v>
      </c>
      <c r="E424" t="s">
        <v>631</v>
      </c>
      <c r="F424" t="s">
        <v>630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632</v>
      </c>
      <c r="M424" t="s">
        <v>633</v>
      </c>
    </row>
    <row r="425" spans="1:13" x14ac:dyDescent="0.3">
      <c r="A425" t="s">
        <v>1063</v>
      </c>
      <c r="B425" t="s">
        <v>629</v>
      </c>
      <c r="C425" t="s">
        <v>635</v>
      </c>
      <c r="D425">
        <v>1</v>
      </c>
      <c r="E425" t="s">
        <v>631</v>
      </c>
      <c r="F425" t="s">
        <v>630</v>
      </c>
      <c r="G425">
        <v>7250</v>
      </c>
      <c r="H425">
        <v>1667</v>
      </c>
      <c r="I425">
        <v>110</v>
      </c>
      <c r="K425">
        <v>0</v>
      </c>
      <c r="L425" t="s">
        <v>632</v>
      </c>
      <c r="M425" t="s">
        <v>637</v>
      </c>
    </row>
    <row r="426" spans="1:13" x14ac:dyDescent="0.3">
      <c r="A426" t="s">
        <v>1064</v>
      </c>
      <c r="B426" t="s">
        <v>629</v>
      </c>
      <c r="C426" t="s">
        <v>635</v>
      </c>
      <c r="D426">
        <v>0</v>
      </c>
      <c r="E426" t="s">
        <v>631</v>
      </c>
      <c r="F426" t="s">
        <v>630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646</v>
      </c>
      <c r="M426" t="s">
        <v>633</v>
      </c>
    </row>
    <row r="427" spans="1:13" x14ac:dyDescent="0.3">
      <c r="A427" t="s">
        <v>1065</v>
      </c>
      <c r="B427" t="s">
        <v>629</v>
      </c>
      <c r="C427" t="s">
        <v>635</v>
      </c>
      <c r="D427">
        <v>0</v>
      </c>
      <c r="E427" t="s">
        <v>631</v>
      </c>
      <c r="F427" t="s">
        <v>630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636</v>
      </c>
      <c r="M427" t="s">
        <v>633</v>
      </c>
    </row>
    <row r="428" spans="1:13" x14ac:dyDescent="0.3">
      <c r="A428" t="s">
        <v>1066</v>
      </c>
      <c r="B428" t="s">
        <v>657</v>
      </c>
      <c r="C428" t="s">
        <v>630</v>
      </c>
      <c r="D428">
        <v>1</v>
      </c>
      <c r="E428" t="s">
        <v>640</v>
      </c>
      <c r="F428" t="s">
        <v>630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636</v>
      </c>
      <c r="M428" t="s">
        <v>637</v>
      </c>
    </row>
    <row r="429" spans="1:13" x14ac:dyDescent="0.3">
      <c r="A429" t="s">
        <v>1067</v>
      </c>
      <c r="B429" t="s">
        <v>629</v>
      </c>
      <c r="C429" t="s">
        <v>635</v>
      </c>
      <c r="D429">
        <v>2</v>
      </c>
      <c r="E429" t="s">
        <v>631</v>
      </c>
      <c r="F429" t="s">
        <v>630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646</v>
      </c>
      <c r="M429" t="s">
        <v>633</v>
      </c>
    </row>
    <row r="430" spans="1:13" x14ac:dyDescent="0.3">
      <c r="A430" t="s">
        <v>1068</v>
      </c>
      <c r="B430" t="s">
        <v>629</v>
      </c>
      <c r="C430" t="s">
        <v>635</v>
      </c>
      <c r="D430">
        <v>0</v>
      </c>
      <c r="E430" t="s">
        <v>631</v>
      </c>
      <c r="F430" t="s">
        <v>630</v>
      </c>
      <c r="G430">
        <v>2920</v>
      </c>
      <c r="H430" s="1">
        <v>1612000084</v>
      </c>
      <c r="I430">
        <v>87</v>
      </c>
      <c r="J430">
        <v>360</v>
      </c>
      <c r="K430">
        <v>1</v>
      </c>
      <c r="L430" t="s">
        <v>636</v>
      </c>
      <c r="M430" t="s">
        <v>633</v>
      </c>
    </row>
    <row r="431" spans="1:13" x14ac:dyDescent="0.3">
      <c r="A431" t="s">
        <v>1069</v>
      </c>
      <c r="B431" t="s">
        <v>629</v>
      </c>
      <c r="C431" t="s">
        <v>630</v>
      </c>
      <c r="D431">
        <v>0</v>
      </c>
      <c r="E431" t="s">
        <v>640</v>
      </c>
      <c r="F431" t="s">
        <v>630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632</v>
      </c>
      <c r="M431" t="s">
        <v>633</v>
      </c>
    </row>
    <row r="432" spans="1:13" x14ac:dyDescent="0.3">
      <c r="A432" t="s">
        <v>1070</v>
      </c>
      <c r="B432" t="s">
        <v>657</v>
      </c>
      <c r="C432" t="s">
        <v>630</v>
      </c>
      <c r="D432">
        <v>1</v>
      </c>
      <c r="E432" t="s">
        <v>631</v>
      </c>
      <c r="F432" t="s">
        <v>635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646</v>
      </c>
      <c r="M432" t="s">
        <v>633</v>
      </c>
    </row>
    <row r="433" spans="1:13" x14ac:dyDescent="0.3">
      <c r="A433" t="s">
        <v>1071</v>
      </c>
      <c r="B433" t="s">
        <v>629</v>
      </c>
      <c r="C433" t="s">
        <v>630</v>
      </c>
      <c r="D433">
        <v>0</v>
      </c>
      <c r="E433" t="s">
        <v>631</v>
      </c>
      <c r="F433" t="s">
        <v>630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636</v>
      </c>
      <c r="M433" t="s">
        <v>637</v>
      </c>
    </row>
    <row r="434" spans="1:13" x14ac:dyDescent="0.3">
      <c r="A434" t="s">
        <v>1072</v>
      </c>
      <c r="B434" t="s">
        <v>629</v>
      </c>
      <c r="C434" t="s">
        <v>630</v>
      </c>
      <c r="D434">
        <v>0</v>
      </c>
      <c r="E434" t="s">
        <v>631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646</v>
      </c>
      <c r="M434" t="s">
        <v>633</v>
      </c>
    </row>
    <row r="435" spans="1:13" x14ac:dyDescent="0.3">
      <c r="A435" t="s">
        <v>1073</v>
      </c>
      <c r="B435" t="s">
        <v>629</v>
      </c>
      <c r="C435" t="s">
        <v>635</v>
      </c>
      <c r="D435">
        <v>0</v>
      </c>
      <c r="E435" t="s">
        <v>631</v>
      </c>
      <c r="F435" t="s">
        <v>630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646</v>
      </c>
      <c r="M435" t="s">
        <v>633</v>
      </c>
    </row>
    <row r="436" spans="1:13" x14ac:dyDescent="0.3">
      <c r="A436" t="s">
        <v>1074</v>
      </c>
      <c r="B436" t="s">
        <v>629</v>
      </c>
      <c r="C436" t="s">
        <v>630</v>
      </c>
      <c r="D436">
        <v>0</v>
      </c>
      <c r="E436" t="s">
        <v>631</v>
      </c>
      <c r="F436" t="s">
        <v>630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632</v>
      </c>
      <c r="M436" t="s">
        <v>633</v>
      </c>
    </row>
    <row r="437" spans="1:13" x14ac:dyDescent="0.3">
      <c r="A437" t="s">
        <v>1075</v>
      </c>
      <c r="B437" t="s">
        <v>657</v>
      </c>
      <c r="E437" t="s">
        <v>631</v>
      </c>
      <c r="F437" t="s">
        <v>630</v>
      </c>
      <c r="G437">
        <v>10047</v>
      </c>
      <c r="H437">
        <v>0</v>
      </c>
      <c r="J437">
        <v>240</v>
      </c>
      <c r="K437">
        <v>1</v>
      </c>
      <c r="L437" t="s">
        <v>646</v>
      </c>
      <c r="M437" t="s">
        <v>633</v>
      </c>
    </row>
    <row r="438" spans="1:13" x14ac:dyDescent="0.3">
      <c r="A438" t="s">
        <v>1076</v>
      </c>
      <c r="B438" t="s">
        <v>629</v>
      </c>
      <c r="C438" t="s">
        <v>630</v>
      </c>
      <c r="D438">
        <v>0</v>
      </c>
      <c r="E438" t="s">
        <v>631</v>
      </c>
      <c r="F438" t="s">
        <v>630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646</v>
      </c>
      <c r="M438" t="s">
        <v>633</v>
      </c>
    </row>
    <row r="439" spans="1:13" x14ac:dyDescent="0.3">
      <c r="A439" t="s">
        <v>1077</v>
      </c>
      <c r="B439" t="s">
        <v>629</v>
      </c>
      <c r="C439" t="s">
        <v>635</v>
      </c>
      <c r="D439">
        <v>0</v>
      </c>
      <c r="E439" t="s">
        <v>631</v>
      </c>
      <c r="F439" t="s">
        <v>630</v>
      </c>
      <c r="G439">
        <v>2213</v>
      </c>
      <c r="H439">
        <v>1125</v>
      </c>
      <c r="J439">
        <v>360</v>
      </c>
      <c r="K439">
        <v>1</v>
      </c>
      <c r="L439" t="s">
        <v>632</v>
      </c>
      <c r="M439" t="s">
        <v>633</v>
      </c>
    </row>
    <row r="440" spans="1:13" x14ac:dyDescent="0.3">
      <c r="A440" t="s">
        <v>1078</v>
      </c>
      <c r="B440" t="s">
        <v>629</v>
      </c>
      <c r="C440" t="s">
        <v>630</v>
      </c>
      <c r="D440">
        <v>0</v>
      </c>
      <c r="E440" t="s">
        <v>631</v>
      </c>
      <c r="F440" t="s">
        <v>635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632</v>
      </c>
      <c r="M440" t="s">
        <v>637</v>
      </c>
    </row>
    <row r="441" spans="1:13" x14ac:dyDescent="0.3">
      <c r="A441" t="s">
        <v>1079</v>
      </c>
      <c r="B441" t="s">
        <v>657</v>
      </c>
      <c r="C441" t="s">
        <v>635</v>
      </c>
      <c r="D441">
        <v>0</v>
      </c>
      <c r="E441" t="s">
        <v>640</v>
      </c>
      <c r="F441" t="s">
        <v>635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636</v>
      </c>
      <c r="M441" t="s">
        <v>633</v>
      </c>
    </row>
    <row r="442" spans="1:13" x14ac:dyDescent="0.3">
      <c r="A442" t="s">
        <v>1080</v>
      </c>
      <c r="B442" t="s">
        <v>629</v>
      </c>
      <c r="C442" t="s">
        <v>630</v>
      </c>
      <c r="D442">
        <v>0</v>
      </c>
      <c r="E442" t="s">
        <v>631</v>
      </c>
      <c r="F442" t="s">
        <v>630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646</v>
      </c>
      <c r="M442" t="s">
        <v>633</v>
      </c>
    </row>
    <row r="443" spans="1:13" x14ac:dyDescent="0.3">
      <c r="A443" t="s">
        <v>1081</v>
      </c>
      <c r="B443" t="s">
        <v>629</v>
      </c>
      <c r="C443" t="s">
        <v>635</v>
      </c>
      <c r="D443">
        <v>0</v>
      </c>
      <c r="E443" t="s">
        <v>631</v>
      </c>
      <c r="F443" t="s">
        <v>630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636</v>
      </c>
      <c r="M443" t="s">
        <v>633</v>
      </c>
    </row>
    <row r="444" spans="1:13" x14ac:dyDescent="0.3">
      <c r="A444" t="s">
        <v>1082</v>
      </c>
      <c r="B444" t="s">
        <v>629</v>
      </c>
      <c r="C444" t="s">
        <v>630</v>
      </c>
      <c r="D444" t="s">
        <v>645</v>
      </c>
      <c r="E444" t="s">
        <v>640</v>
      </c>
      <c r="F444" t="s">
        <v>630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646</v>
      </c>
      <c r="M444" t="s">
        <v>633</v>
      </c>
    </row>
    <row r="445" spans="1:13" x14ac:dyDescent="0.3">
      <c r="A445" t="s">
        <v>1083</v>
      </c>
      <c r="B445" t="s">
        <v>629</v>
      </c>
      <c r="C445" t="s">
        <v>630</v>
      </c>
      <c r="D445">
        <v>1</v>
      </c>
      <c r="E445" t="s">
        <v>631</v>
      </c>
      <c r="F445" t="s">
        <v>630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646</v>
      </c>
      <c r="M445" t="s">
        <v>633</v>
      </c>
    </row>
    <row r="446" spans="1:13" x14ac:dyDescent="0.3">
      <c r="A446" t="s">
        <v>1084</v>
      </c>
      <c r="B446" t="s">
        <v>629</v>
      </c>
      <c r="C446" t="s">
        <v>635</v>
      </c>
      <c r="D446">
        <v>0</v>
      </c>
      <c r="E446" t="s">
        <v>631</v>
      </c>
      <c r="F446" t="s">
        <v>630</v>
      </c>
      <c r="G446">
        <v>7333</v>
      </c>
      <c r="H446">
        <v>8333</v>
      </c>
      <c r="I446">
        <v>175</v>
      </c>
      <c r="J446">
        <v>300</v>
      </c>
      <c r="L446" t="s">
        <v>636</v>
      </c>
      <c r="M446" t="s">
        <v>633</v>
      </c>
    </row>
    <row r="447" spans="1:13" x14ac:dyDescent="0.3">
      <c r="A447" t="s">
        <v>1085</v>
      </c>
      <c r="B447" t="s">
        <v>629</v>
      </c>
      <c r="C447" t="s">
        <v>635</v>
      </c>
      <c r="D447">
        <v>1</v>
      </c>
      <c r="E447" t="s">
        <v>631</v>
      </c>
      <c r="F447" t="s">
        <v>635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636</v>
      </c>
      <c r="M447" t="s">
        <v>633</v>
      </c>
    </row>
    <row r="448" spans="1:13" x14ac:dyDescent="0.3">
      <c r="A448" t="s">
        <v>1086</v>
      </c>
      <c r="B448" t="s">
        <v>629</v>
      </c>
      <c r="C448" t="s">
        <v>635</v>
      </c>
      <c r="D448">
        <v>2</v>
      </c>
      <c r="E448" t="s">
        <v>640</v>
      </c>
      <c r="F448" t="s">
        <v>630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636</v>
      </c>
      <c r="M448" t="s">
        <v>633</v>
      </c>
    </row>
    <row r="449" spans="1:13" x14ac:dyDescent="0.3">
      <c r="A449" t="s">
        <v>1087</v>
      </c>
      <c r="B449" t="s">
        <v>629</v>
      </c>
      <c r="C449" t="s">
        <v>635</v>
      </c>
      <c r="D449">
        <v>0</v>
      </c>
      <c r="E449" t="s">
        <v>631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636</v>
      </c>
      <c r="M449" t="s">
        <v>637</v>
      </c>
    </row>
    <row r="450" spans="1:13" x14ac:dyDescent="0.3">
      <c r="A450" t="s">
        <v>1088</v>
      </c>
      <c r="B450" t="s">
        <v>629</v>
      </c>
      <c r="C450" t="s">
        <v>635</v>
      </c>
      <c r="D450">
        <v>2</v>
      </c>
      <c r="E450" t="s">
        <v>631</v>
      </c>
      <c r="F450" t="s">
        <v>630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636</v>
      </c>
      <c r="M450" t="s">
        <v>637</v>
      </c>
    </row>
    <row r="451" spans="1:13" x14ac:dyDescent="0.3">
      <c r="A451" t="s">
        <v>1089</v>
      </c>
      <c r="B451" t="s">
        <v>629</v>
      </c>
      <c r="C451" t="s">
        <v>630</v>
      </c>
      <c r="D451">
        <v>1</v>
      </c>
      <c r="E451" t="s">
        <v>640</v>
      </c>
      <c r="F451" t="s">
        <v>635</v>
      </c>
      <c r="G451">
        <v>2769</v>
      </c>
      <c r="H451">
        <v>1542</v>
      </c>
      <c r="I451">
        <v>190</v>
      </c>
      <c r="J451">
        <v>360</v>
      </c>
      <c r="L451" t="s">
        <v>646</v>
      </c>
      <c r="M451" t="s">
        <v>637</v>
      </c>
    </row>
    <row r="452" spans="1:13" x14ac:dyDescent="0.3">
      <c r="A452" t="s">
        <v>1090</v>
      </c>
      <c r="B452" t="s">
        <v>629</v>
      </c>
      <c r="C452" t="s">
        <v>635</v>
      </c>
      <c r="D452">
        <v>2</v>
      </c>
      <c r="E452" t="s">
        <v>640</v>
      </c>
      <c r="F452" t="s">
        <v>630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636</v>
      </c>
      <c r="M452" t="s">
        <v>637</v>
      </c>
    </row>
    <row r="453" spans="1:13" x14ac:dyDescent="0.3">
      <c r="A453" t="s">
        <v>1091</v>
      </c>
      <c r="B453" t="s">
        <v>629</v>
      </c>
      <c r="C453" t="s">
        <v>635</v>
      </c>
      <c r="D453">
        <v>2</v>
      </c>
      <c r="E453" t="s">
        <v>640</v>
      </c>
      <c r="F453" t="s">
        <v>630</v>
      </c>
      <c r="G453">
        <v>1958</v>
      </c>
      <c r="H453">
        <v>1456</v>
      </c>
      <c r="I453">
        <v>60</v>
      </c>
      <c r="J453">
        <v>300</v>
      </c>
      <c r="L453" t="s">
        <v>632</v>
      </c>
      <c r="M453" t="s">
        <v>633</v>
      </c>
    </row>
    <row r="454" spans="1:13" x14ac:dyDescent="0.3">
      <c r="A454" t="s">
        <v>1092</v>
      </c>
      <c r="B454" t="s">
        <v>629</v>
      </c>
      <c r="C454" t="s">
        <v>635</v>
      </c>
      <c r="D454">
        <v>0</v>
      </c>
      <c r="E454" t="s">
        <v>631</v>
      </c>
      <c r="F454" t="s">
        <v>630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636</v>
      </c>
      <c r="M454" t="s">
        <v>637</v>
      </c>
    </row>
    <row r="455" spans="1:13" x14ac:dyDescent="0.3">
      <c r="A455" t="s">
        <v>1093</v>
      </c>
      <c r="B455" t="s">
        <v>629</v>
      </c>
      <c r="C455" t="s">
        <v>635</v>
      </c>
      <c r="D455">
        <v>0</v>
      </c>
      <c r="E455" t="s">
        <v>631</v>
      </c>
      <c r="F455" t="s">
        <v>630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636</v>
      </c>
      <c r="M455" t="s">
        <v>633</v>
      </c>
    </row>
    <row r="456" spans="1:13" x14ac:dyDescent="0.3">
      <c r="A456" t="s">
        <v>1094</v>
      </c>
      <c r="B456" t="s">
        <v>629</v>
      </c>
      <c r="C456" t="s">
        <v>630</v>
      </c>
      <c r="D456">
        <v>0</v>
      </c>
      <c r="E456" t="s">
        <v>631</v>
      </c>
      <c r="F456" t="s">
        <v>635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646</v>
      </c>
      <c r="M456" t="s">
        <v>633</v>
      </c>
    </row>
    <row r="457" spans="1:13" x14ac:dyDescent="0.3">
      <c r="A457" t="s">
        <v>1095</v>
      </c>
      <c r="B457" t="s">
        <v>629</v>
      </c>
      <c r="C457" t="s">
        <v>635</v>
      </c>
      <c r="D457">
        <v>2</v>
      </c>
      <c r="E457" t="s">
        <v>631</v>
      </c>
      <c r="F457" t="s">
        <v>630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646</v>
      </c>
      <c r="M457" t="s">
        <v>633</v>
      </c>
    </row>
    <row r="458" spans="1:13" x14ac:dyDescent="0.3">
      <c r="A458" t="s">
        <v>1096</v>
      </c>
      <c r="B458" t="s">
        <v>629</v>
      </c>
      <c r="C458" t="s">
        <v>635</v>
      </c>
      <c r="D458">
        <v>0</v>
      </c>
      <c r="E458" t="s">
        <v>631</v>
      </c>
      <c r="F458" t="s">
        <v>630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632</v>
      </c>
      <c r="M458" t="s">
        <v>633</v>
      </c>
    </row>
    <row r="459" spans="1:13" x14ac:dyDescent="0.3">
      <c r="A459" t="s">
        <v>1097</v>
      </c>
      <c r="B459" t="s">
        <v>629</v>
      </c>
      <c r="C459" t="s">
        <v>635</v>
      </c>
      <c r="D459">
        <v>0</v>
      </c>
      <c r="E459" t="s">
        <v>631</v>
      </c>
      <c r="F459" t="s">
        <v>630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632</v>
      </c>
      <c r="M459" t="s">
        <v>637</v>
      </c>
    </row>
    <row r="460" spans="1:13" x14ac:dyDescent="0.3">
      <c r="A460" t="s">
        <v>1098</v>
      </c>
      <c r="B460" t="s">
        <v>629</v>
      </c>
      <c r="C460" t="s">
        <v>630</v>
      </c>
      <c r="D460">
        <v>2</v>
      </c>
      <c r="E460" t="s">
        <v>631</v>
      </c>
      <c r="F460" t="s">
        <v>630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636</v>
      </c>
      <c r="M460" t="s">
        <v>633</v>
      </c>
    </row>
    <row r="461" spans="1:13" x14ac:dyDescent="0.3">
      <c r="A461" t="s">
        <v>1099</v>
      </c>
      <c r="B461" t="s">
        <v>629</v>
      </c>
      <c r="C461" t="s">
        <v>635</v>
      </c>
      <c r="D461">
        <v>0</v>
      </c>
      <c r="E461" t="s">
        <v>631</v>
      </c>
      <c r="F461" t="s">
        <v>630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646</v>
      </c>
      <c r="M461" t="s">
        <v>637</v>
      </c>
    </row>
    <row r="462" spans="1:13" x14ac:dyDescent="0.3">
      <c r="A462" t="s">
        <v>1100</v>
      </c>
      <c r="C462" t="s">
        <v>635</v>
      </c>
      <c r="D462">
        <v>0</v>
      </c>
      <c r="E462" t="s">
        <v>631</v>
      </c>
      <c r="F462" t="s">
        <v>635</v>
      </c>
      <c r="G462">
        <v>2083</v>
      </c>
      <c r="H462">
        <v>4083</v>
      </c>
      <c r="I462">
        <v>160</v>
      </c>
      <c r="J462">
        <v>360</v>
      </c>
      <c r="L462" t="s">
        <v>646</v>
      </c>
      <c r="M462" t="s">
        <v>633</v>
      </c>
    </row>
    <row r="463" spans="1:13" x14ac:dyDescent="0.3">
      <c r="A463" t="s">
        <v>1101</v>
      </c>
      <c r="B463" t="s">
        <v>629</v>
      </c>
      <c r="C463" t="s">
        <v>635</v>
      </c>
      <c r="D463" t="s">
        <v>645</v>
      </c>
      <c r="E463" t="s">
        <v>631</v>
      </c>
      <c r="F463" t="s">
        <v>630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632</v>
      </c>
      <c r="M463" t="s">
        <v>633</v>
      </c>
    </row>
    <row r="464" spans="1:13" x14ac:dyDescent="0.3">
      <c r="A464" t="s">
        <v>1102</v>
      </c>
      <c r="B464" t="s">
        <v>629</v>
      </c>
      <c r="C464" t="s">
        <v>635</v>
      </c>
      <c r="D464">
        <v>0</v>
      </c>
      <c r="E464" t="s">
        <v>631</v>
      </c>
      <c r="F464" t="s">
        <v>630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636</v>
      </c>
      <c r="M464" t="s">
        <v>633</v>
      </c>
    </row>
    <row r="465" spans="1:13" x14ac:dyDescent="0.3">
      <c r="A465" t="s">
        <v>1103</v>
      </c>
      <c r="B465" t="s">
        <v>657</v>
      </c>
      <c r="C465" t="s">
        <v>630</v>
      </c>
      <c r="D465">
        <v>1</v>
      </c>
      <c r="E465" t="s">
        <v>640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646</v>
      </c>
      <c r="M465" t="s">
        <v>633</v>
      </c>
    </row>
    <row r="466" spans="1:13" x14ac:dyDescent="0.3">
      <c r="A466" t="s">
        <v>1104</v>
      </c>
      <c r="B466" t="s">
        <v>629</v>
      </c>
      <c r="C466" t="s">
        <v>630</v>
      </c>
      <c r="D466">
        <v>0</v>
      </c>
      <c r="E466" t="s">
        <v>631</v>
      </c>
      <c r="F466" t="s">
        <v>630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646</v>
      </c>
      <c r="M466" t="s">
        <v>637</v>
      </c>
    </row>
    <row r="467" spans="1:13" x14ac:dyDescent="0.3">
      <c r="A467" t="s">
        <v>1105</v>
      </c>
      <c r="B467" t="s">
        <v>629</v>
      </c>
      <c r="C467" t="s">
        <v>630</v>
      </c>
      <c r="D467">
        <v>0</v>
      </c>
      <c r="E467" t="s">
        <v>631</v>
      </c>
      <c r="F467" t="s">
        <v>630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636</v>
      </c>
      <c r="M467" t="s">
        <v>633</v>
      </c>
    </row>
    <row r="468" spans="1:13" x14ac:dyDescent="0.3">
      <c r="A468" t="s">
        <v>1106</v>
      </c>
      <c r="B468" t="s">
        <v>629</v>
      </c>
      <c r="C468" t="s">
        <v>635</v>
      </c>
      <c r="D468" t="s">
        <v>645</v>
      </c>
      <c r="E468" t="s">
        <v>640</v>
      </c>
      <c r="F468" t="s">
        <v>630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632</v>
      </c>
      <c r="M468" t="s">
        <v>637</v>
      </c>
    </row>
    <row r="469" spans="1:13" x14ac:dyDescent="0.3">
      <c r="A469" t="s">
        <v>1107</v>
      </c>
      <c r="C469" t="s">
        <v>635</v>
      </c>
      <c r="D469">
        <v>0</v>
      </c>
      <c r="E469" t="s">
        <v>631</v>
      </c>
      <c r="F469" t="s">
        <v>630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646</v>
      </c>
      <c r="M469" t="s">
        <v>633</v>
      </c>
    </row>
    <row r="470" spans="1:13" x14ac:dyDescent="0.3">
      <c r="A470" t="s">
        <v>1108</v>
      </c>
      <c r="B470" t="s">
        <v>657</v>
      </c>
      <c r="C470" t="s">
        <v>635</v>
      </c>
      <c r="D470">
        <v>2</v>
      </c>
      <c r="E470" t="s">
        <v>640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646</v>
      </c>
      <c r="M470" t="s">
        <v>633</v>
      </c>
    </row>
    <row r="471" spans="1:13" x14ac:dyDescent="0.3">
      <c r="A471" t="s">
        <v>1109</v>
      </c>
      <c r="B471" t="s">
        <v>629</v>
      </c>
      <c r="C471" t="s">
        <v>635</v>
      </c>
      <c r="D471">
        <v>0</v>
      </c>
      <c r="E471" t="s">
        <v>631</v>
      </c>
      <c r="F471" t="s">
        <v>630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632</v>
      </c>
      <c r="M471" t="s">
        <v>637</v>
      </c>
    </row>
    <row r="472" spans="1:13" x14ac:dyDescent="0.3">
      <c r="A472" t="s">
        <v>1110</v>
      </c>
      <c r="B472" t="s">
        <v>629</v>
      </c>
      <c r="C472" t="s">
        <v>635</v>
      </c>
      <c r="D472">
        <v>1</v>
      </c>
      <c r="E472" t="s">
        <v>631</v>
      </c>
      <c r="F472" t="s">
        <v>635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646</v>
      </c>
      <c r="M472" t="s">
        <v>633</v>
      </c>
    </row>
    <row r="473" spans="1:13" x14ac:dyDescent="0.3">
      <c r="A473" t="s">
        <v>1111</v>
      </c>
      <c r="B473" t="s">
        <v>629</v>
      </c>
      <c r="C473" t="s">
        <v>635</v>
      </c>
      <c r="D473">
        <v>1</v>
      </c>
      <c r="E473" t="s">
        <v>640</v>
      </c>
      <c r="F473" t="s">
        <v>630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636</v>
      </c>
      <c r="M473" t="s">
        <v>637</v>
      </c>
    </row>
    <row r="474" spans="1:13" x14ac:dyDescent="0.3">
      <c r="A474" t="s">
        <v>1112</v>
      </c>
      <c r="B474" t="s">
        <v>629</v>
      </c>
      <c r="C474" t="s">
        <v>635</v>
      </c>
      <c r="D474" t="s">
        <v>645</v>
      </c>
      <c r="E474" t="s">
        <v>631</v>
      </c>
      <c r="F474" t="s">
        <v>630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646</v>
      </c>
      <c r="M474" t="s">
        <v>633</v>
      </c>
    </row>
    <row r="475" spans="1:13" x14ac:dyDescent="0.3">
      <c r="A475" t="s">
        <v>1113</v>
      </c>
      <c r="B475" t="s">
        <v>657</v>
      </c>
      <c r="C475" t="s">
        <v>630</v>
      </c>
      <c r="D475">
        <v>0</v>
      </c>
      <c r="E475" t="s">
        <v>631</v>
      </c>
      <c r="F475" t="s">
        <v>635</v>
      </c>
      <c r="G475">
        <v>2500</v>
      </c>
      <c r="H475">
        <v>0</v>
      </c>
      <c r="I475">
        <v>93</v>
      </c>
      <c r="J475">
        <v>360</v>
      </c>
      <c r="L475" t="s">
        <v>632</v>
      </c>
      <c r="M475" t="s">
        <v>633</v>
      </c>
    </row>
    <row r="476" spans="1:13" x14ac:dyDescent="0.3">
      <c r="A476" t="s">
        <v>1114</v>
      </c>
      <c r="B476" t="s">
        <v>629</v>
      </c>
      <c r="C476" t="s">
        <v>630</v>
      </c>
      <c r="D476">
        <v>2</v>
      </c>
      <c r="E476" t="s">
        <v>631</v>
      </c>
      <c r="F476" t="s">
        <v>630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636</v>
      </c>
      <c r="M476" t="s">
        <v>633</v>
      </c>
    </row>
    <row r="477" spans="1:13" x14ac:dyDescent="0.3">
      <c r="A477" t="s">
        <v>1115</v>
      </c>
      <c r="B477" t="s">
        <v>629</v>
      </c>
      <c r="C477" t="s">
        <v>635</v>
      </c>
      <c r="D477">
        <v>2</v>
      </c>
      <c r="E477" t="s">
        <v>631</v>
      </c>
      <c r="F477" t="s">
        <v>635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636</v>
      </c>
      <c r="M477" t="s">
        <v>633</v>
      </c>
    </row>
    <row r="478" spans="1:13" x14ac:dyDescent="0.3">
      <c r="A478" t="s">
        <v>1116</v>
      </c>
      <c r="B478" t="s">
        <v>629</v>
      </c>
      <c r="C478" t="s">
        <v>635</v>
      </c>
      <c r="D478">
        <v>2</v>
      </c>
      <c r="E478" t="s">
        <v>631</v>
      </c>
      <c r="F478" t="s">
        <v>630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646</v>
      </c>
      <c r="M478" t="s">
        <v>633</v>
      </c>
    </row>
    <row r="479" spans="1:13" x14ac:dyDescent="0.3">
      <c r="A479" t="s">
        <v>1117</v>
      </c>
      <c r="C479" t="s">
        <v>635</v>
      </c>
      <c r="D479">
        <v>2</v>
      </c>
      <c r="E479" t="s">
        <v>631</v>
      </c>
      <c r="F479" t="s">
        <v>630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646</v>
      </c>
      <c r="M479" t="s">
        <v>637</v>
      </c>
    </row>
    <row r="480" spans="1:13" x14ac:dyDescent="0.3">
      <c r="A480" t="s">
        <v>1118</v>
      </c>
      <c r="B480" t="s">
        <v>629</v>
      </c>
      <c r="C480" t="s">
        <v>635</v>
      </c>
      <c r="D480">
        <v>1</v>
      </c>
      <c r="E480" t="s">
        <v>631</v>
      </c>
      <c r="F480" t="s">
        <v>635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646</v>
      </c>
      <c r="M480" t="s">
        <v>633</v>
      </c>
    </row>
    <row r="481" spans="1:13" x14ac:dyDescent="0.3">
      <c r="A481" t="s">
        <v>1119</v>
      </c>
      <c r="B481" t="s">
        <v>629</v>
      </c>
      <c r="C481" t="s">
        <v>635</v>
      </c>
      <c r="D481">
        <v>2</v>
      </c>
      <c r="E481" t="s">
        <v>631</v>
      </c>
      <c r="F481" t="s">
        <v>630</v>
      </c>
      <c r="G481">
        <v>2947</v>
      </c>
      <c r="H481">
        <v>1603</v>
      </c>
      <c r="J481">
        <v>360</v>
      </c>
      <c r="K481">
        <v>1</v>
      </c>
      <c r="L481" t="s">
        <v>632</v>
      </c>
      <c r="M481" t="s">
        <v>637</v>
      </c>
    </row>
    <row r="482" spans="1:13" x14ac:dyDescent="0.3">
      <c r="A482" t="s">
        <v>1120</v>
      </c>
      <c r="B482" t="s">
        <v>657</v>
      </c>
      <c r="C482" t="s">
        <v>630</v>
      </c>
      <c r="D482">
        <v>0</v>
      </c>
      <c r="E482" t="s">
        <v>640</v>
      </c>
      <c r="F482" t="s">
        <v>630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636</v>
      </c>
      <c r="M482" t="s">
        <v>633</v>
      </c>
    </row>
    <row r="483" spans="1:13" x14ac:dyDescent="0.3">
      <c r="A483" t="s">
        <v>1121</v>
      </c>
      <c r="B483" t="s">
        <v>629</v>
      </c>
      <c r="C483" t="s">
        <v>635</v>
      </c>
      <c r="D483" t="s">
        <v>645</v>
      </c>
      <c r="E483" t="s">
        <v>640</v>
      </c>
      <c r="F483" t="s">
        <v>630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636</v>
      </c>
      <c r="M483" t="s">
        <v>633</v>
      </c>
    </row>
    <row r="484" spans="1:13" x14ac:dyDescent="0.3">
      <c r="A484" t="s">
        <v>1122</v>
      </c>
      <c r="B484" t="s">
        <v>629</v>
      </c>
      <c r="C484" t="s">
        <v>635</v>
      </c>
      <c r="D484">
        <v>0</v>
      </c>
      <c r="E484" t="s">
        <v>631</v>
      </c>
      <c r="F484" t="s">
        <v>630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646</v>
      </c>
      <c r="M484" t="s">
        <v>633</v>
      </c>
    </row>
    <row r="485" spans="1:13" x14ac:dyDescent="0.3">
      <c r="A485" t="s">
        <v>1123</v>
      </c>
      <c r="B485" t="s">
        <v>629</v>
      </c>
      <c r="C485" t="s">
        <v>635</v>
      </c>
      <c r="D485">
        <v>0</v>
      </c>
      <c r="E485" t="s">
        <v>631</v>
      </c>
      <c r="F485" t="s">
        <v>630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646</v>
      </c>
      <c r="M485" t="s">
        <v>633</v>
      </c>
    </row>
    <row r="486" spans="1:13" x14ac:dyDescent="0.3">
      <c r="A486" t="s">
        <v>1124</v>
      </c>
      <c r="B486" t="s">
        <v>629</v>
      </c>
      <c r="C486" t="s">
        <v>635</v>
      </c>
      <c r="D486">
        <v>2</v>
      </c>
      <c r="E486" t="s">
        <v>631</v>
      </c>
      <c r="F486" t="s">
        <v>630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646</v>
      </c>
      <c r="M486" t="s">
        <v>633</v>
      </c>
    </row>
    <row r="487" spans="1:13" x14ac:dyDescent="0.3">
      <c r="A487" t="s">
        <v>1125</v>
      </c>
      <c r="B487" t="s">
        <v>629</v>
      </c>
      <c r="C487" t="s">
        <v>635</v>
      </c>
      <c r="D487">
        <v>1</v>
      </c>
      <c r="E487" t="s">
        <v>640</v>
      </c>
      <c r="F487" t="s">
        <v>630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636</v>
      </c>
      <c r="M487" t="s">
        <v>633</v>
      </c>
    </row>
    <row r="488" spans="1:13" x14ac:dyDescent="0.3">
      <c r="A488" t="s">
        <v>1126</v>
      </c>
      <c r="B488" t="s">
        <v>629</v>
      </c>
      <c r="C488" t="s">
        <v>630</v>
      </c>
      <c r="D488">
        <v>2</v>
      </c>
      <c r="E488" t="s">
        <v>631</v>
      </c>
      <c r="F488" t="s">
        <v>630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636</v>
      </c>
      <c r="M488" t="s">
        <v>637</v>
      </c>
    </row>
    <row r="489" spans="1:13" x14ac:dyDescent="0.3">
      <c r="A489" t="s">
        <v>1127</v>
      </c>
      <c r="B489" t="s">
        <v>629</v>
      </c>
      <c r="C489" t="s">
        <v>635</v>
      </c>
      <c r="D489">
        <v>1</v>
      </c>
      <c r="E489" t="s">
        <v>631</v>
      </c>
      <c r="F489" t="s">
        <v>630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632</v>
      </c>
      <c r="M489" t="s">
        <v>637</v>
      </c>
    </row>
    <row r="490" spans="1:13" x14ac:dyDescent="0.3">
      <c r="A490" t="s">
        <v>1128</v>
      </c>
      <c r="B490" t="s">
        <v>629</v>
      </c>
      <c r="C490" t="s">
        <v>635</v>
      </c>
      <c r="D490">
        <v>2</v>
      </c>
      <c r="E490" t="s">
        <v>631</v>
      </c>
      <c r="F490" t="s">
        <v>635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646</v>
      </c>
      <c r="M490" t="s">
        <v>633</v>
      </c>
    </row>
    <row r="491" spans="1:13" x14ac:dyDescent="0.3">
      <c r="A491" t="s">
        <v>1129</v>
      </c>
      <c r="B491" t="s">
        <v>629</v>
      </c>
      <c r="C491" t="s">
        <v>630</v>
      </c>
      <c r="D491">
        <v>0</v>
      </c>
      <c r="E491" t="s">
        <v>631</v>
      </c>
      <c r="F491" t="s">
        <v>630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632</v>
      </c>
      <c r="M491" t="s">
        <v>637</v>
      </c>
    </row>
    <row r="492" spans="1:13" x14ac:dyDescent="0.3">
      <c r="A492" t="s">
        <v>1130</v>
      </c>
      <c r="B492" t="s">
        <v>629</v>
      </c>
      <c r="C492" t="s">
        <v>630</v>
      </c>
      <c r="D492">
        <v>0</v>
      </c>
      <c r="E492" t="s">
        <v>640</v>
      </c>
      <c r="F492" t="s">
        <v>630</v>
      </c>
      <c r="G492">
        <v>2699</v>
      </c>
      <c r="H492">
        <v>2785</v>
      </c>
      <c r="I492">
        <v>96</v>
      </c>
      <c r="J492">
        <v>360</v>
      </c>
      <c r="L492" t="s">
        <v>646</v>
      </c>
      <c r="M492" t="s">
        <v>633</v>
      </c>
    </row>
    <row r="493" spans="1:13" x14ac:dyDescent="0.3">
      <c r="A493" t="s">
        <v>1131</v>
      </c>
      <c r="B493" t="s">
        <v>629</v>
      </c>
      <c r="C493" t="s">
        <v>635</v>
      </c>
      <c r="D493">
        <v>1</v>
      </c>
      <c r="E493" t="s">
        <v>640</v>
      </c>
      <c r="F493" t="s">
        <v>630</v>
      </c>
      <c r="G493">
        <v>5333</v>
      </c>
      <c r="H493">
        <v>1131</v>
      </c>
      <c r="I493">
        <v>186</v>
      </c>
      <c r="J493">
        <v>360</v>
      </c>
      <c r="L493" t="s">
        <v>632</v>
      </c>
      <c r="M493" t="s">
        <v>633</v>
      </c>
    </row>
    <row r="494" spans="1:13" x14ac:dyDescent="0.3">
      <c r="A494" t="s">
        <v>1132</v>
      </c>
      <c r="B494" t="s">
        <v>629</v>
      </c>
      <c r="C494" t="s">
        <v>630</v>
      </c>
      <c r="D494">
        <v>0</v>
      </c>
      <c r="E494" t="s">
        <v>640</v>
      </c>
      <c r="F494" t="s">
        <v>630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636</v>
      </c>
      <c r="M494" t="s">
        <v>633</v>
      </c>
    </row>
    <row r="495" spans="1:13" x14ac:dyDescent="0.3">
      <c r="A495" t="s">
        <v>1133</v>
      </c>
      <c r="B495" t="s">
        <v>657</v>
      </c>
      <c r="C495" t="s">
        <v>630</v>
      </c>
      <c r="D495">
        <v>0</v>
      </c>
      <c r="E495" t="s">
        <v>640</v>
      </c>
      <c r="F495" t="s">
        <v>635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646</v>
      </c>
      <c r="M495" t="s">
        <v>633</v>
      </c>
    </row>
    <row r="496" spans="1:13" x14ac:dyDescent="0.3">
      <c r="A496" t="s">
        <v>1134</v>
      </c>
      <c r="B496" t="s">
        <v>629</v>
      </c>
      <c r="C496" t="s">
        <v>635</v>
      </c>
      <c r="D496">
        <v>0</v>
      </c>
      <c r="E496" t="s">
        <v>631</v>
      </c>
      <c r="F496" t="s">
        <v>630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636</v>
      </c>
      <c r="M496" t="s">
        <v>637</v>
      </c>
    </row>
    <row r="497" spans="1:13" x14ac:dyDescent="0.3">
      <c r="A497" t="s">
        <v>1135</v>
      </c>
      <c r="B497" t="s">
        <v>657</v>
      </c>
      <c r="C497" t="s">
        <v>635</v>
      </c>
      <c r="D497">
        <v>1</v>
      </c>
      <c r="E497" t="s">
        <v>631</v>
      </c>
      <c r="F497" t="s">
        <v>630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646</v>
      </c>
      <c r="M497" t="s">
        <v>633</v>
      </c>
    </row>
    <row r="498" spans="1:13" x14ac:dyDescent="0.3">
      <c r="A498" t="s">
        <v>1136</v>
      </c>
      <c r="B498" t="s">
        <v>629</v>
      </c>
      <c r="C498" t="s">
        <v>635</v>
      </c>
      <c r="D498">
        <v>0</v>
      </c>
      <c r="E498" t="s">
        <v>640</v>
      </c>
      <c r="F498" t="s">
        <v>630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636</v>
      </c>
      <c r="M498" t="s">
        <v>633</v>
      </c>
    </row>
    <row r="499" spans="1:13" x14ac:dyDescent="0.3">
      <c r="A499" t="s">
        <v>1137</v>
      </c>
      <c r="B499" t="s">
        <v>629</v>
      </c>
      <c r="C499" t="s">
        <v>635</v>
      </c>
      <c r="D499">
        <v>0</v>
      </c>
      <c r="E499" t="s">
        <v>631</v>
      </c>
      <c r="F499" t="s">
        <v>630</v>
      </c>
      <c r="G499">
        <v>4625</v>
      </c>
      <c r="H499">
        <v>2857</v>
      </c>
      <c r="I499">
        <v>111</v>
      </c>
      <c r="J499">
        <v>12</v>
      </c>
      <c r="L499" t="s">
        <v>632</v>
      </c>
      <c r="M499" t="s">
        <v>633</v>
      </c>
    </row>
    <row r="500" spans="1:13" x14ac:dyDescent="0.3">
      <c r="A500" t="s">
        <v>1138</v>
      </c>
      <c r="B500" t="s">
        <v>629</v>
      </c>
      <c r="C500" t="s">
        <v>635</v>
      </c>
      <c r="D500">
        <v>1</v>
      </c>
      <c r="E500" t="s">
        <v>631</v>
      </c>
      <c r="F500" t="s">
        <v>635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646</v>
      </c>
      <c r="M500" t="s">
        <v>633</v>
      </c>
    </row>
    <row r="501" spans="1:13" x14ac:dyDescent="0.3">
      <c r="A501" t="s">
        <v>1139</v>
      </c>
      <c r="B501" t="s">
        <v>629</v>
      </c>
      <c r="C501" t="s">
        <v>630</v>
      </c>
      <c r="D501">
        <v>0</v>
      </c>
      <c r="E501" t="s">
        <v>631</v>
      </c>
      <c r="F501" t="s">
        <v>630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636</v>
      </c>
      <c r="M501" t="s">
        <v>637</v>
      </c>
    </row>
    <row r="502" spans="1:13" x14ac:dyDescent="0.3">
      <c r="A502" t="s">
        <v>1140</v>
      </c>
      <c r="B502" t="s">
        <v>657</v>
      </c>
      <c r="C502" t="s">
        <v>630</v>
      </c>
      <c r="D502">
        <v>0</v>
      </c>
      <c r="E502" t="s">
        <v>631</v>
      </c>
      <c r="F502" t="s">
        <v>630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636</v>
      </c>
      <c r="M502" t="s">
        <v>633</v>
      </c>
    </row>
    <row r="503" spans="1:13" x14ac:dyDescent="0.3">
      <c r="A503" t="s">
        <v>1141</v>
      </c>
      <c r="B503" t="s">
        <v>657</v>
      </c>
      <c r="C503" t="s">
        <v>630</v>
      </c>
      <c r="D503">
        <v>0</v>
      </c>
      <c r="E503" t="s">
        <v>631</v>
      </c>
      <c r="F503" t="s">
        <v>630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646</v>
      </c>
      <c r="M503" t="s">
        <v>633</v>
      </c>
    </row>
    <row r="504" spans="1:13" x14ac:dyDescent="0.3">
      <c r="A504" t="s">
        <v>1142</v>
      </c>
      <c r="B504" t="s">
        <v>629</v>
      </c>
      <c r="C504" t="s">
        <v>635</v>
      </c>
      <c r="D504">
        <v>2</v>
      </c>
      <c r="E504" t="s">
        <v>631</v>
      </c>
      <c r="F504" t="s">
        <v>630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646</v>
      </c>
      <c r="M504" t="s">
        <v>633</v>
      </c>
    </row>
    <row r="505" spans="1:13" x14ac:dyDescent="0.3">
      <c r="A505" t="s">
        <v>1143</v>
      </c>
      <c r="B505" t="s">
        <v>629</v>
      </c>
      <c r="C505" t="s">
        <v>635</v>
      </c>
      <c r="D505">
        <v>1</v>
      </c>
      <c r="E505" t="s">
        <v>640</v>
      </c>
      <c r="F505" t="s">
        <v>630</v>
      </c>
      <c r="G505">
        <v>4050</v>
      </c>
      <c r="H505">
        <v>5302</v>
      </c>
      <c r="I505">
        <v>138</v>
      </c>
      <c r="J505">
        <v>360</v>
      </c>
      <c r="L505" t="s">
        <v>636</v>
      </c>
      <c r="M505" t="s">
        <v>637</v>
      </c>
    </row>
    <row r="506" spans="1:13" x14ac:dyDescent="0.3">
      <c r="A506" t="s">
        <v>1144</v>
      </c>
      <c r="B506" t="s">
        <v>629</v>
      </c>
      <c r="C506" t="s">
        <v>635</v>
      </c>
      <c r="D506">
        <v>0</v>
      </c>
      <c r="E506" t="s">
        <v>640</v>
      </c>
      <c r="F506" t="s">
        <v>630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646</v>
      </c>
      <c r="M506" t="s">
        <v>633</v>
      </c>
    </row>
    <row r="507" spans="1:13" x14ac:dyDescent="0.3">
      <c r="A507" t="s">
        <v>1145</v>
      </c>
      <c r="B507" t="s">
        <v>629</v>
      </c>
      <c r="C507" t="s">
        <v>635</v>
      </c>
      <c r="D507">
        <v>2</v>
      </c>
      <c r="E507" t="s">
        <v>631</v>
      </c>
      <c r="F507" t="s">
        <v>630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636</v>
      </c>
      <c r="M507" t="s">
        <v>633</v>
      </c>
    </row>
    <row r="508" spans="1:13" x14ac:dyDescent="0.3">
      <c r="A508" t="s">
        <v>1146</v>
      </c>
      <c r="B508" t="s">
        <v>629</v>
      </c>
      <c r="C508" t="s">
        <v>635</v>
      </c>
      <c r="D508">
        <v>0</v>
      </c>
      <c r="E508" t="s">
        <v>631</v>
      </c>
      <c r="F508" t="s">
        <v>630</v>
      </c>
      <c r="G508">
        <v>20833</v>
      </c>
      <c r="H508">
        <v>6667</v>
      </c>
      <c r="I508">
        <v>480</v>
      </c>
      <c r="J508">
        <v>360</v>
      </c>
      <c r="L508" t="s">
        <v>632</v>
      </c>
      <c r="M508" t="s">
        <v>633</v>
      </c>
    </row>
    <row r="509" spans="1:13" x14ac:dyDescent="0.3">
      <c r="A509" t="s">
        <v>1147</v>
      </c>
      <c r="C509" t="s">
        <v>630</v>
      </c>
      <c r="D509">
        <v>0</v>
      </c>
      <c r="E509" t="s">
        <v>631</v>
      </c>
      <c r="F509" t="s">
        <v>630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632</v>
      </c>
      <c r="M509" t="s">
        <v>637</v>
      </c>
    </row>
    <row r="510" spans="1:13" x14ac:dyDescent="0.3">
      <c r="A510" t="s">
        <v>1148</v>
      </c>
      <c r="B510" t="s">
        <v>629</v>
      </c>
      <c r="C510" t="s">
        <v>635</v>
      </c>
      <c r="D510">
        <v>0</v>
      </c>
      <c r="E510" t="s">
        <v>631</v>
      </c>
      <c r="F510" t="s">
        <v>635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632</v>
      </c>
      <c r="M510" t="s">
        <v>633</v>
      </c>
    </row>
    <row r="511" spans="1:13" x14ac:dyDescent="0.3">
      <c r="A511" t="s">
        <v>1149</v>
      </c>
      <c r="B511" t="s">
        <v>657</v>
      </c>
      <c r="C511" t="s">
        <v>630</v>
      </c>
      <c r="D511">
        <v>1</v>
      </c>
      <c r="E511" t="s">
        <v>631</v>
      </c>
      <c r="F511" t="s">
        <v>630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632</v>
      </c>
      <c r="M511" t="s">
        <v>633</v>
      </c>
    </row>
    <row r="512" spans="1:13" x14ac:dyDescent="0.3">
      <c r="A512" t="s">
        <v>1150</v>
      </c>
      <c r="B512" t="s">
        <v>629</v>
      </c>
      <c r="C512" t="s">
        <v>630</v>
      </c>
      <c r="D512">
        <v>0</v>
      </c>
      <c r="E512" t="s">
        <v>640</v>
      </c>
      <c r="F512" t="s">
        <v>630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636</v>
      </c>
      <c r="M512" t="s">
        <v>637</v>
      </c>
    </row>
    <row r="513" spans="1:13" x14ac:dyDescent="0.3">
      <c r="A513" t="s">
        <v>1151</v>
      </c>
      <c r="B513" t="s">
        <v>629</v>
      </c>
      <c r="C513" t="s">
        <v>635</v>
      </c>
      <c r="D513">
        <v>1</v>
      </c>
      <c r="E513" t="s">
        <v>631</v>
      </c>
      <c r="F513" t="s">
        <v>630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646</v>
      </c>
      <c r="M513" t="s">
        <v>633</v>
      </c>
    </row>
    <row r="514" spans="1:13" x14ac:dyDescent="0.3">
      <c r="A514" t="s">
        <v>1152</v>
      </c>
      <c r="B514" t="s">
        <v>629</v>
      </c>
      <c r="C514" t="s">
        <v>635</v>
      </c>
      <c r="D514">
        <v>2</v>
      </c>
      <c r="E514" t="s">
        <v>631</v>
      </c>
      <c r="F514" t="s">
        <v>630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632</v>
      </c>
      <c r="M514" t="s">
        <v>633</v>
      </c>
    </row>
    <row r="515" spans="1:13" x14ac:dyDescent="0.3">
      <c r="A515" t="s">
        <v>1153</v>
      </c>
      <c r="B515" t="s">
        <v>629</v>
      </c>
      <c r="C515" t="s">
        <v>635</v>
      </c>
      <c r="D515">
        <v>0</v>
      </c>
      <c r="E515" t="s">
        <v>631</v>
      </c>
      <c r="F515" t="s">
        <v>630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646</v>
      </c>
      <c r="M515" t="s">
        <v>637</v>
      </c>
    </row>
    <row r="516" spans="1:13" x14ac:dyDescent="0.3">
      <c r="A516" t="s">
        <v>1154</v>
      </c>
      <c r="B516" t="s">
        <v>629</v>
      </c>
      <c r="C516" t="s">
        <v>630</v>
      </c>
      <c r="D516">
        <v>0</v>
      </c>
      <c r="E516" t="s">
        <v>631</v>
      </c>
      <c r="F516" t="s">
        <v>630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636</v>
      </c>
      <c r="M516" t="s">
        <v>637</v>
      </c>
    </row>
    <row r="517" spans="1:13" x14ac:dyDescent="0.3">
      <c r="A517" t="s">
        <v>1155</v>
      </c>
      <c r="B517" t="s">
        <v>629</v>
      </c>
      <c r="C517" t="s">
        <v>635</v>
      </c>
      <c r="D517" t="s">
        <v>645</v>
      </c>
      <c r="E517" t="s">
        <v>631</v>
      </c>
      <c r="F517" t="s">
        <v>630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636</v>
      </c>
      <c r="M517" t="s">
        <v>633</v>
      </c>
    </row>
    <row r="518" spans="1:13" x14ac:dyDescent="0.3">
      <c r="A518" t="s">
        <v>1156</v>
      </c>
      <c r="B518" t="s">
        <v>657</v>
      </c>
      <c r="C518" t="s">
        <v>635</v>
      </c>
      <c r="D518">
        <v>2</v>
      </c>
      <c r="E518" t="s">
        <v>631</v>
      </c>
      <c r="F518" t="s">
        <v>630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646</v>
      </c>
      <c r="M518" t="s">
        <v>633</v>
      </c>
    </row>
    <row r="519" spans="1:13" x14ac:dyDescent="0.3">
      <c r="A519" t="s">
        <v>1157</v>
      </c>
      <c r="B519" t="s">
        <v>629</v>
      </c>
      <c r="C519" t="s">
        <v>635</v>
      </c>
      <c r="E519" t="s">
        <v>640</v>
      </c>
      <c r="F519" t="s">
        <v>630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646</v>
      </c>
      <c r="M519" t="s">
        <v>637</v>
      </c>
    </row>
    <row r="520" spans="1:13" x14ac:dyDescent="0.3">
      <c r="A520" t="s">
        <v>1158</v>
      </c>
      <c r="B520" t="s">
        <v>629</v>
      </c>
      <c r="C520" t="s">
        <v>630</v>
      </c>
      <c r="D520">
        <v>0</v>
      </c>
      <c r="E520" t="s">
        <v>631</v>
      </c>
      <c r="F520" t="s">
        <v>630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646</v>
      </c>
      <c r="M520" t="s">
        <v>637</v>
      </c>
    </row>
    <row r="521" spans="1:13" x14ac:dyDescent="0.3">
      <c r="A521" t="s">
        <v>1159</v>
      </c>
      <c r="B521" t="s">
        <v>657</v>
      </c>
      <c r="C521" t="s">
        <v>630</v>
      </c>
      <c r="D521">
        <v>0</v>
      </c>
      <c r="E521" t="s">
        <v>640</v>
      </c>
      <c r="F521" t="s">
        <v>630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636</v>
      </c>
      <c r="M521" t="s">
        <v>637</v>
      </c>
    </row>
    <row r="522" spans="1:13" x14ac:dyDescent="0.3">
      <c r="A522" t="s">
        <v>1160</v>
      </c>
      <c r="B522" t="s">
        <v>629</v>
      </c>
      <c r="C522" t="s">
        <v>635</v>
      </c>
      <c r="D522">
        <v>2</v>
      </c>
      <c r="E522" t="s">
        <v>640</v>
      </c>
      <c r="F522" t="s">
        <v>630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646</v>
      </c>
      <c r="M522" t="s">
        <v>633</v>
      </c>
    </row>
    <row r="523" spans="1:13" x14ac:dyDescent="0.3">
      <c r="A523" t="s">
        <v>1161</v>
      </c>
      <c r="B523" t="s">
        <v>629</v>
      </c>
      <c r="C523" t="s">
        <v>630</v>
      </c>
      <c r="D523">
        <v>0</v>
      </c>
      <c r="E523" t="s">
        <v>631</v>
      </c>
      <c r="F523" t="s">
        <v>630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646</v>
      </c>
      <c r="M523" t="s">
        <v>633</v>
      </c>
    </row>
    <row r="524" spans="1:13" x14ac:dyDescent="0.3">
      <c r="A524" t="s">
        <v>1162</v>
      </c>
      <c r="B524" t="s">
        <v>629</v>
      </c>
      <c r="C524" t="s">
        <v>635</v>
      </c>
      <c r="D524" t="s">
        <v>645</v>
      </c>
      <c r="E524" t="s">
        <v>631</v>
      </c>
      <c r="F524" t="s">
        <v>635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636</v>
      </c>
      <c r="M524" t="s">
        <v>633</v>
      </c>
    </row>
    <row r="525" spans="1:13" x14ac:dyDescent="0.3">
      <c r="A525" t="s">
        <v>1163</v>
      </c>
      <c r="B525" t="s">
        <v>629</v>
      </c>
      <c r="C525" t="s">
        <v>635</v>
      </c>
      <c r="D525">
        <v>2</v>
      </c>
      <c r="E525" t="s">
        <v>631</v>
      </c>
      <c r="F525" t="s">
        <v>635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636</v>
      </c>
      <c r="M525" t="s">
        <v>633</v>
      </c>
    </row>
    <row r="526" spans="1:13" x14ac:dyDescent="0.3">
      <c r="A526" t="s">
        <v>1164</v>
      </c>
      <c r="B526" t="s">
        <v>629</v>
      </c>
      <c r="C526" t="s">
        <v>630</v>
      </c>
      <c r="D526">
        <v>0</v>
      </c>
      <c r="E526" t="s">
        <v>631</v>
      </c>
      <c r="F526" t="s">
        <v>630</v>
      </c>
      <c r="G526">
        <v>4680</v>
      </c>
      <c r="H526">
        <v>2087</v>
      </c>
      <c r="J526">
        <v>360</v>
      </c>
      <c r="K526">
        <v>1</v>
      </c>
      <c r="L526" t="s">
        <v>646</v>
      </c>
      <c r="M526" t="s">
        <v>637</v>
      </c>
    </row>
    <row r="527" spans="1:13" x14ac:dyDescent="0.3">
      <c r="A527" t="s">
        <v>1165</v>
      </c>
      <c r="B527" t="s">
        <v>629</v>
      </c>
      <c r="C527" t="s">
        <v>635</v>
      </c>
      <c r="D527">
        <v>2</v>
      </c>
      <c r="E527" t="s">
        <v>631</v>
      </c>
      <c r="F527" t="s">
        <v>635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636</v>
      </c>
      <c r="M527" t="s">
        <v>633</v>
      </c>
    </row>
    <row r="528" spans="1:13" x14ac:dyDescent="0.3">
      <c r="A528" t="s">
        <v>1166</v>
      </c>
      <c r="B528" t="s">
        <v>629</v>
      </c>
      <c r="C528" t="s">
        <v>635</v>
      </c>
      <c r="D528">
        <v>0</v>
      </c>
      <c r="E528" t="s">
        <v>631</v>
      </c>
      <c r="F528" t="s">
        <v>630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646</v>
      </c>
      <c r="M528" t="s">
        <v>633</v>
      </c>
    </row>
    <row r="529" spans="1:13" x14ac:dyDescent="0.3">
      <c r="A529" t="s">
        <v>1167</v>
      </c>
      <c r="B529" t="s">
        <v>629</v>
      </c>
      <c r="C529" t="s">
        <v>635</v>
      </c>
      <c r="D529">
        <v>1</v>
      </c>
      <c r="E529" t="s">
        <v>640</v>
      </c>
      <c r="F529" t="s">
        <v>630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646</v>
      </c>
      <c r="M529" t="s">
        <v>633</v>
      </c>
    </row>
    <row r="530" spans="1:13" x14ac:dyDescent="0.3">
      <c r="A530" t="s">
        <v>1168</v>
      </c>
      <c r="B530" t="s">
        <v>629</v>
      </c>
      <c r="C530" t="s">
        <v>630</v>
      </c>
      <c r="D530">
        <v>1</v>
      </c>
      <c r="E530" t="s">
        <v>640</v>
      </c>
      <c r="F530" t="s">
        <v>630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646</v>
      </c>
      <c r="M530" t="s">
        <v>633</v>
      </c>
    </row>
    <row r="531" spans="1:13" x14ac:dyDescent="0.3">
      <c r="A531" t="s">
        <v>1169</v>
      </c>
      <c r="B531" t="s">
        <v>629</v>
      </c>
      <c r="C531" t="s">
        <v>630</v>
      </c>
      <c r="D531">
        <v>0</v>
      </c>
      <c r="E531" t="s">
        <v>640</v>
      </c>
      <c r="F531" t="s">
        <v>630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646</v>
      </c>
      <c r="M531" t="s">
        <v>633</v>
      </c>
    </row>
    <row r="532" spans="1:13" x14ac:dyDescent="0.3">
      <c r="A532" t="s">
        <v>1170</v>
      </c>
      <c r="B532" t="s">
        <v>629</v>
      </c>
      <c r="C532" t="s">
        <v>635</v>
      </c>
      <c r="D532">
        <v>0</v>
      </c>
      <c r="E532" t="s">
        <v>631</v>
      </c>
      <c r="F532" t="s">
        <v>630</v>
      </c>
      <c r="G532">
        <v>1025</v>
      </c>
      <c r="H532">
        <v>5500</v>
      </c>
      <c r="I532">
        <v>216</v>
      </c>
      <c r="J532">
        <v>360</v>
      </c>
      <c r="L532" t="s">
        <v>636</v>
      </c>
      <c r="M532" t="s">
        <v>633</v>
      </c>
    </row>
    <row r="533" spans="1:13" x14ac:dyDescent="0.3">
      <c r="A533" t="s">
        <v>1171</v>
      </c>
      <c r="B533" t="s">
        <v>629</v>
      </c>
      <c r="C533" t="s">
        <v>635</v>
      </c>
      <c r="D533" t="s">
        <v>645</v>
      </c>
      <c r="E533" t="s">
        <v>631</v>
      </c>
      <c r="F533" t="s">
        <v>630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632</v>
      </c>
      <c r="M533" t="s">
        <v>633</v>
      </c>
    </row>
    <row r="534" spans="1:13" x14ac:dyDescent="0.3">
      <c r="A534" t="s">
        <v>1172</v>
      </c>
      <c r="B534" t="s">
        <v>629</v>
      </c>
      <c r="C534" t="s">
        <v>630</v>
      </c>
      <c r="D534">
        <v>2</v>
      </c>
      <c r="E534" t="s">
        <v>631</v>
      </c>
      <c r="F534" t="s">
        <v>630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636</v>
      </c>
      <c r="M534" t="s">
        <v>637</v>
      </c>
    </row>
    <row r="535" spans="1:13" x14ac:dyDescent="0.3">
      <c r="A535" t="s">
        <v>1173</v>
      </c>
      <c r="B535" t="s">
        <v>629</v>
      </c>
      <c r="C535" t="s">
        <v>630</v>
      </c>
      <c r="D535">
        <v>1</v>
      </c>
      <c r="E535" t="s">
        <v>631</v>
      </c>
      <c r="F535" t="s">
        <v>630</v>
      </c>
      <c r="G535">
        <v>11250</v>
      </c>
      <c r="H535">
        <v>0</v>
      </c>
      <c r="I535">
        <v>196</v>
      </c>
      <c r="J535">
        <v>360</v>
      </c>
      <c r="L535" t="s">
        <v>646</v>
      </c>
      <c r="M535" t="s">
        <v>637</v>
      </c>
    </row>
    <row r="536" spans="1:13" x14ac:dyDescent="0.3">
      <c r="A536" t="s">
        <v>1174</v>
      </c>
      <c r="B536" t="s">
        <v>657</v>
      </c>
      <c r="C536" t="s">
        <v>630</v>
      </c>
      <c r="D536">
        <v>0</v>
      </c>
      <c r="E536" t="s">
        <v>640</v>
      </c>
      <c r="F536" t="s">
        <v>635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632</v>
      </c>
      <c r="M536" t="s">
        <v>633</v>
      </c>
    </row>
    <row r="537" spans="1:13" x14ac:dyDescent="0.3">
      <c r="A537" t="s">
        <v>1175</v>
      </c>
      <c r="B537" t="s">
        <v>629</v>
      </c>
      <c r="C537" t="s">
        <v>630</v>
      </c>
      <c r="D537">
        <v>0</v>
      </c>
      <c r="E537" t="s">
        <v>640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636</v>
      </c>
      <c r="M537" t="s">
        <v>633</v>
      </c>
    </row>
    <row r="538" spans="1:13" x14ac:dyDescent="0.3">
      <c r="A538" t="s">
        <v>1176</v>
      </c>
      <c r="B538" t="s">
        <v>629</v>
      </c>
      <c r="C538" t="s">
        <v>635</v>
      </c>
      <c r="D538">
        <v>0</v>
      </c>
      <c r="E538" t="s">
        <v>631</v>
      </c>
      <c r="F538" t="s">
        <v>630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632</v>
      </c>
      <c r="M538" t="s">
        <v>633</v>
      </c>
    </row>
    <row r="539" spans="1:13" x14ac:dyDescent="0.3">
      <c r="A539" t="s">
        <v>1177</v>
      </c>
      <c r="B539" t="s">
        <v>629</v>
      </c>
      <c r="C539" t="s">
        <v>630</v>
      </c>
      <c r="D539">
        <v>2</v>
      </c>
      <c r="E539" t="s">
        <v>631</v>
      </c>
      <c r="F539" t="s">
        <v>630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646</v>
      </c>
      <c r="M539" t="s">
        <v>633</v>
      </c>
    </row>
    <row r="540" spans="1:13" x14ac:dyDescent="0.3">
      <c r="A540" t="s">
        <v>1178</v>
      </c>
      <c r="B540" t="s">
        <v>629</v>
      </c>
      <c r="C540" t="s">
        <v>635</v>
      </c>
      <c r="D540">
        <v>0</v>
      </c>
      <c r="E540" t="s">
        <v>640</v>
      </c>
      <c r="F540" t="s">
        <v>630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636</v>
      </c>
      <c r="M540" t="s">
        <v>637</v>
      </c>
    </row>
    <row r="541" spans="1:13" x14ac:dyDescent="0.3">
      <c r="A541" t="s">
        <v>1179</v>
      </c>
      <c r="B541" t="s">
        <v>629</v>
      </c>
      <c r="C541" t="s">
        <v>635</v>
      </c>
      <c r="D541" t="s">
        <v>645</v>
      </c>
      <c r="E541" t="s">
        <v>631</v>
      </c>
      <c r="F541" t="s">
        <v>630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636</v>
      </c>
      <c r="M541" t="s">
        <v>633</v>
      </c>
    </row>
    <row r="542" spans="1:13" x14ac:dyDescent="0.3">
      <c r="A542" t="s">
        <v>1180</v>
      </c>
      <c r="B542" t="s">
        <v>657</v>
      </c>
      <c r="C542" t="s">
        <v>635</v>
      </c>
      <c r="D542">
        <v>1</v>
      </c>
      <c r="E542" t="s">
        <v>631</v>
      </c>
      <c r="F542" t="s">
        <v>630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646</v>
      </c>
      <c r="M542" t="s">
        <v>633</v>
      </c>
    </row>
    <row r="543" spans="1:13" x14ac:dyDescent="0.3">
      <c r="A543" t="s">
        <v>1181</v>
      </c>
      <c r="B543" t="s">
        <v>657</v>
      </c>
      <c r="C543" t="s">
        <v>630</v>
      </c>
      <c r="D543">
        <v>0</v>
      </c>
      <c r="E543" t="s">
        <v>631</v>
      </c>
      <c r="F543" t="s">
        <v>630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646</v>
      </c>
      <c r="M543" t="s">
        <v>637</v>
      </c>
    </row>
    <row r="544" spans="1:13" x14ac:dyDescent="0.3">
      <c r="A544" t="s">
        <v>1182</v>
      </c>
      <c r="B544" t="s">
        <v>657</v>
      </c>
      <c r="C544" t="s">
        <v>630</v>
      </c>
      <c r="D544">
        <v>1</v>
      </c>
      <c r="E544" t="s">
        <v>631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646</v>
      </c>
      <c r="M544" t="s">
        <v>633</v>
      </c>
    </row>
    <row r="545" spans="1:13" x14ac:dyDescent="0.3">
      <c r="A545" t="s">
        <v>1183</v>
      </c>
      <c r="B545" t="s">
        <v>629</v>
      </c>
      <c r="C545" t="s">
        <v>635</v>
      </c>
      <c r="D545">
        <v>1</v>
      </c>
      <c r="E545" t="s">
        <v>640</v>
      </c>
      <c r="F545" t="s">
        <v>630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632</v>
      </c>
      <c r="M545" t="s">
        <v>633</v>
      </c>
    </row>
    <row r="546" spans="1:13" x14ac:dyDescent="0.3">
      <c r="A546" t="s">
        <v>1184</v>
      </c>
      <c r="B546" t="s">
        <v>657</v>
      </c>
      <c r="C546" t="s">
        <v>635</v>
      </c>
      <c r="D546">
        <v>0</v>
      </c>
      <c r="E546" t="s">
        <v>640</v>
      </c>
      <c r="F546" t="s">
        <v>630</v>
      </c>
      <c r="G546">
        <v>3017</v>
      </c>
      <c r="H546">
        <v>663</v>
      </c>
      <c r="I546">
        <v>102</v>
      </c>
      <c r="J546">
        <v>360</v>
      </c>
      <c r="L546" t="s">
        <v>646</v>
      </c>
      <c r="M546" t="s">
        <v>633</v>
      </c>
    </row>
    <row r="547" spans="1:13" x14ac:dyDescent="0.3">
      <c r="A547" t="s">
        <v>1185</v>
      </c>
      <c r="B547" t="s">
        <v>629</v>
      </c>
      <c r="C547" t="s">
        <v>635</v>
      </c>
      <c r="D547">
        <v>0</v>
      </c>
      <c r="E547" t="s">
        <v>631</v>
      </c>
      <c r="F547" t="s">
        <v>630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636</v>
      </c>
      <c r="M547" t="s">
        <v>633</v>
      </c>
    </row>
    <row r="548" spans="1:13" x14ac:dyDescent="0.3">
      <c r="A548" t="s">
        <v>1186</v>
      </c>
      <c r="B548" t="s">
        <v>629</v>
      </c>
      <c r="C548" t="s">
        <v>630</v>
      </c>
      <c r="D548">
        <v>0</v>
      </c>
      <c r="E548" t="s">
        <v>640</v>
      </c>
      <c r="F548" t="s">
        <v>630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646</v>
      </c>
      <c r="M548" t="s">
        <v>637</v>
      </c>
    </row>
    <row r="549" spans="1:13" x14ac:dyDescent="0.3">
      <c r="A549" t="s">
        <v>1187</v>
      </c>
      <c r="B549" t="s">
        <v>629</v>
      </c>
      <c r="C549" t="s">
        <v>630</v>
      </c>
      <c r="D549">
        <v>0</v>
      </c>
      <c r="E549" t="s">
        <v>631</v>
      </c>
      <c r="F549" t="s">
        <v>630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636</v>
      </c>
      <c r="M549" t="s">
        <v>633</v>
      </c>
    </row>
    <row r="550" spans="1:13" x14ac:dyDescent="0.3">
      <c r="A550" t="s">
        <v>1188</v>
      </c>
      <c r="B550" t="s">
        <v>657</v>
      </c>
      <c r="C550" t="s">
        <v>630</v>
      </c>
      <c r="D550">
        <v>0</v>
      </c>
      <c r="E550" t="s">
        <v>631</v>
      </c>
      <c r="F550" t="s">
        <v>630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646</v>
      </c>
      <c r="M550" t="s">
        <v>637</v>
      </c>
    </row>
    <row r="551" spans="1:13" x14ac:dyDescent="0.3">
      <c r="A551" t="s">
        <v>1189</v>
      </c>
      <c r="B551" t="s">
        <v>629</v>
      </c>
      <c r="C551" t="s">
        <v>635</v>
      </c>
      <c r="D551">
        <v>0</v>
      </c>
      <c r="E551" t="s">
        <v>631</v>
      </c>
      <c r="F551" t="s">
        <v>630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636</v>
      </c>
      <c r="M551" t="s">
        <v>633</v>
      </c>
    </row>
    <row r="552" spans="1:13" x14ac:dyDescent="0.3">
      <c r="A552" t="s">
        <v>1190</v>
      </c>
      <c r="B552" t="s">
        <v>629</v>
      </c>
      <c r="C552" t="s">
        <v>635</v>
      </c>
      <c r="D552">
        <v>2</v>
      </c>
      <c r="E552" t="s">
        <v>631</v>
      </c>
      <c r="F552" t="s">
        <v>635</v>
      </c>
      <c r="G552">
        <v>6633</v>
      </c>
      <c r="H552">
        <v>0</v>
      </c>
      <c r="J552">
        <v>360</v>
      </c>
      <c r="K552">
        <v>0</v>
      </c>
      <c r="L552" t="s">
        <v>636</v>
      </c>
      <c r="M552" t="s">
        <v>637</v>
      </c>
    </row>
    <row r="553" spans="1:13" x14ac:dyDescent="0.3">
      <c r="A553" t="s">
        <v>1191</v>
      </c>
      <c r="B553" t="s">
        <v>629</v>
      </c>
      <c r="C553" t="s">
        <v>635</v>
      </c>
      <c r="D553">
        <v>1</v>
      </c>
      <c r="E553" t="s">
        <v>640</v>
      </c>
      <c r="F553" t="s">
        <v>630</v>
      </c>
      <c r="G553">
        <v>2492</v>
      </c>
      <c r="H553">
        <v>2375</v>
      </c>
      <c r="J553">
        <v>360</v>
      </c>
      <c r="K553">
        <v>1</v>
      </c>
      <c r="L553" t="s">
        <v>636</v>
      </c>
      <c r="M553" t="s">
        <v>633</v>
      </c>
    </row>
    <row r="554" spans="1:13" x14ac:dyDescent="0.3">
      <c r="A554" t="s">
        <v>1192</v>
      </c>
      <c r="B554" t="s">
        <v>629</v>
      </c>
      <c r="C554" t="s">
        <v>635</v>
      </c>
      <c r="D554">
        <v>1</v>
      </c>
      <c r="E554" t="s">
        <v>631</v>
      </c>
      <c r="F554" t="s">
        <v>630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632</v>
      </c>
      <c r="M554" t="s">
        <v>633</v>
      </c>
    </row>
    <row r="555" spans="1:13" x14ac:dyDescent="0.3">
      <c r="A555" t="s">
        <v>1193</v>
      </c>
      <c r="B555" t="s">
        <v>629</v>
      </c>
      <c r="C555" t="s">
        <v>635</v>
      </c>
      <c r="D555">
        <v>0</v>
      </c>
      <c r="E555" t="s">
        <v>640</v>
      </c>
      <c r="F555" t="s">
        <v>630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632</v>
      </c>
      <c r="M555" t="s">
        <v>637</v>
      </c>
    </row>
    <row r="556" spans="1:13" x14ac:dyDescent="0.3">
      <c r="A556" t="s">
        <v>1194</v>
      </c>
      <c r="B556" t="s">
        <v>629</v>
      </c>
      <c r="C556" t="s">
        <v>635</v>
      </c>
      <c r="D556">
        <v>0</v>
      </c>
      <c r="E556" t="s">
        <v>631</v>
      </c>
      <c r="F556" t="s">
        <v>630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636</v>
      </c>
      <c r="M556" t="s">
        <v>637</v>
      </c>
    </row>
    <row r="557" spans="1:13" x14ac:dyDescent="0.3">
      <c r="A557" t="s">
        <v>1195</v>
      </c>
      <c r="B557" t="s">
        <v>629</v>
      </c>
      <c r="C557" t="s">
        <v>635</v>
      </c>
      <c r="D557">
        <v>1</v>
      </c>
      <c r="E557" t="s">
        <v>631</v>
      </c>
      <c r="F557" t="s">
        <v>630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646</v>
      </c>
      <c r="M557" t="s">
        <v>633</v>
      </c>
    </row>
    <row r="558" spans="1:13" x14ac:dyDescent="0.3">
      <c r="A558" t="s">
        <v>1196</v>
      </c>
      <c r="B558" t="s">
        <v>657</v>
      </c>
      <c r="C558" t="s">
        <v>630</v>
      </c>
      <c r="D558">
        <v>0</v>
      </c>
      <c r="E558" t="s">
        <v>631</v>
      </c>
      <c r="F558" t="s">
        <v>630</v>
      </c>
      <c r="G558">
        <v>2667</v>
      </c>
      <c r="H558">
        <v>1625</v>
      </c>
      <c r="I558">
        <v>84</v>
      </c>
      <c r="J558">
        <v>360</v>
      </c>
      <c r="L558" t="s">
        <v>632</v>
      </c>
      <c r="M558" t="s">
        <v>633</v>
      </c>
    </row>
    <row r="559" spans="1:13" x14ac:dyDescent="0.3">
      <c r="A559" t="s">
        <v>1197</v>
      </c>
      <c r="B559" t="s">
        <v>629</v>
      </c>
      <c r="C559" t="s">
        <v>635</v>
      </c>
      <c r="D559" t="s">
        <v>645</v>
      </c>
      <c r="E559" t="s">
        <v>631</v>
      </c>
      <c r="F559" t="s">
        <v>635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646</v>
      </c>
      <c r="M559" t="s">
        <v>633</v>
      </c>
    </row>
    <row r="560" spans="1:13" x14ac:dyDescent="0.3">
      <c r="A560" t="s">
        <v>1198</v>
      </c>
      <c r="B560" t="s">
        <v>629</v>
      </c>
      <c r="C560" t="s">
        <v>635</v>
      </c>
      <c r="D560">
        <v>0</v>
      </c>
      <c r="E560" t="s">
        <v>631</v>
      </c>
      <c r="F560" t="s">
        <v>630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646</v>
      </c>
      <c r="M560" t="s">
        <v>633</v>
      </c>
    </row>
    <row r="561" spans="1:13" x14ac:dyDescent="0.3">
      <c r="A561" t="s">
        <v>1199</v>
      </c>
      <c r="B561" t="s">
        <v>657</v>
      </c>
      <c r="C561" t="s">
        <v>635</v>
      </c>
      <c r="D561">
        <v>0</v>
      </c>
      <c r="E561" t="s">
        <v>631</v>
      </c>
      <c r="F561" t="s">
        <v>630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646</v>
      </c>
      <c r="M561" t="s">
        <v>633</v>
      </c>
    </row>
    <row r="562" spans="1:13" x14ac:dyDescent="0.3">
      <c r="A562" t="s">
        <v>1200</v>
      </c>
      <c r="B562" t="s">
        <v>629</v>
      </c>
      <c r="C562" t="s">
        <v>635</v>
      </c>
      <c r="D562">
        <v>2</v>
      </c>
      <c r="E562" t="s">
        <v>640</v>
      </c>
      <c r="F562" t="s">
        <v>630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646</v>
      </c>
      <c r="M562" t="s">
        <v>633</v>
      </c>
    </row>
    <row r="563" spans="1:13" x14ac:dyDescent="0.3">
      <c r="A563" t="s">
        <v>1201</v>
      </c>
      <c r="B563" t="s">
        <v>657</v>
      </c>
      <c r="C563" t="s">
        <v>635</v>
      </c>
      <c r="D563">
        <v>1</v>
      </c>
      <c r="E563" t="s">
        <v>631</v>
      </c>
      <c r="F563" t="s">
        <v>635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646</v>
      </c>
      <c r="M563" t="s">
        <v>633</v>
      </c>
    </row>
    <row r="564" spans="1:13" x14ac:dyDescent="0.3">
      <c r="A564" t="s">
        <v>1202</v>
      </c>
      <c r="B564" t="s">
        <v>629</v>
      </c>
      <c r="C564" t="s">
        <v>635</v>
      </c>
      <c r="D564">
        <v>0</v>
      </c>
      <c r="E564" t="s">
        <v>631</v>
      </c>
      <c r="F564" t="s">
        <v>630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636</v>
      </c>
      <c r="M564" t="s">
        <v>633</v>
      </c>
    </row>
    <row r="565" spans="1:13" x14ac:dyDescent="0.3">
      <c r="A565" t="s">
        <v>1203</v>
      </c>
      <c r="B565" t="s">
        <v>629</v>
      </c>
      <c r="C565" t="s">
        <v>630</v>
      </c>
      <c r="D565">
        <v>0</v>
      </c>
      <c r="E565" t="s">
        <v>640</v>
      </c>
      <c r="F565" t="s">
        <v>635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646</v>
      </c>
      <c r="M565" t="s">
        <v>633</v>
      </c>
    </row>
    <row r="566" spans="1:13" x14ac:dyDescent="0.3">
      <c r="A566" t="s">
        <v>1204</v>
      </c>
      <c r="B566" t="s">
        <v>629</v>
      </c>
      <c r="C566" t="s">
        <v>635</v>
      </c>
      <c r="D566">
        <v>2</v>
      </c>
      <c r="E566" t="s">
        <v>631</v>
      </c>
      <c r="F566" t="s">
        <v>630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632</v>
      </c>
      <c r="M566" t="s">
        <v>637</v>
      </c>
    </row>
    <row r="567" spans="1:13" x14ac:dyDescent="0.3">
      <c r="A567" t="s">
        <v>1205</v>
      </c>
      <c r="B567" t="s">
        <v>629</v>
      </c>
      <c r="C567" t="s">
        <v>635</v>
      </c>
      <c r="D567">
        <v>0</v>
      </c>
      <c r="E567" t="s">
        <v>640</v>
      </c>
      <c r="F567" t="s">
        <v>630</v>
      </c>
      <c r="G567">
        <v>4467</v>
      </c>
      <c r="H567">
        <v>0</v>
      </c>
      <c r="I567">
        <v>120</v>
      </c>
      <c r="J567">
        <v>360</v>
      </c>
      <c r="L567" t="s">
        <v>636</v>
      </c>
      <c r="M567" t="s">
        <v>633</v>
      </c>
    </row>
    <row r="568" spans="1:13" x14ac:dyDescent="0.3">
      <c r="A568" t="s">
        <v>1206</v>
      </c>
      <c r="B568" t="s">
        <v>629</v>
      </c>
      <c r="C568" t="s">
        <v>630</v>
      </c>
      <c r="D568">
        <v>0</v>
      </c>
      <c r="E568" t="s">
        <v>631</v>
      </c>
      <c r="F568" t="s">
        <v>630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632</v>
      </c>
      <c r="M568" t="s">
        <v>633</v>
      </c>
    </row>
    <row r="569" spans="1:13" x14ac:dyDescent="0.3">
      <c r="A569" t="s">
        <v>1207</v>
      </c>
      <c r="B569" t="s">
        <v>629</v>
      </c>
      <c r="C569" t="s">
        <v>635</v>
      </c>
      <c r="D569" t="s">
        <v>645</v>
      </c>
      <c r="E569" t="s">
        <v>631</v>
      </c>
      <c r="F569" t="s">
        <v>630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636</v>
      </c>
      <c r="M569" t="s">
        <v>637</v>
      </c>
    </row>
    <row r="570" spans="1:13" x14ac:dyDescent="0.3">
      <c r="A570" t="s">
        <v>1208</v>
      </c>
      <c r="B570" t="s">
        <v>657</v>
      </c>
      <c r="C570" t="s">
        <v>630</v>
      </c>
      <c r="D570">
        <v>0</v>
      </c>
      <c r="E570" t="s">
        <v>631</v>
      </c>
      <c r="F570" t="s">
        <v>630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632</v>
      </c>
      <c r="M570" t="s">
        <v>637</v>
      </c>
    </row>
    <row r="571" spans="1:13" x14ac:dyDescent="0.3">
      <c r="A571" t="s">
        <v>1209</v>
      </c>
      <c r="B571" t="s">
        <v>629</v>
      </c>
      <c r="C571" t="s">
        <v>635</v>
      </c>
      <c r="D571">
        <v>0</v>
      </c>
      <c r="E571" t="s">
        <v>631</v>
      </c>
      <c r="F571" t="s">
        <v>630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632</v>
      </c>
      <c r="M571" t="s">
        <v>637</v>
      </c>
    </row>
    <row r="572" spans="1:13" x14ac:dyDescent="0.3">
      <c r="A572" t="s">
        <v>1210</v>
      </c>
      <c r="B572" t="s">
        <v>629</v>
      </c>
      <c r="C572" t="s">
        <v>635</v>
      </c>
      <c r="D572">
        <v>1</v>
      </c>
      <c r="E572" t="s">
        <v>631</v>
      </c>
      <c r="F572" t="s">
        <v>630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632</v>
      </c>
      <c r="M572" t="s">
        <v>633</v>
      </c>
    </row>
    <row r="573" spans="1:13" x14ac:dyDescent="0.3">
      <c r="A573" t="s">
        <v>1211</v>
      </c>
      <c r="B573" t="s">
        <v>629</v>
      </c>
      <c r="C573" t="s">
        <v>635</v>
      </c>
      <c r="E573" t="s">
        <v>631</v>
      </c>
      <c r="F573" t="s">
        <v>630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632</v>
      </c>
      <c r="M573" t="s">
        <v>637</v>
      </c>
    </row>
    <row r="574" spans="1:13" x14ac:dyDescent="0.3">
      <c r="A574" t="s">
        <v>1212</v>
      </c>
      <c r="B574" t="s">
        <v>629</v>
      </c>
      <c r="C574" t="s">
        <v>635</v>
      </c>
      <c r="D574">
        <v>2</v>
      </c>
      <c r="E574" t="s">
        <v>631</v>
      </c>
      <c r="F574" t="s">
        <v>630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632</v>
      </c>
      <c r="M574" t="s">
        <v>633</v>
      </c>
    </row>
    <row r="575" spans="1:13" x14ac:dyDescent="0.3">
      <c r="A575" t="s">
        <v>1213</v>
      </c>
      <c r="B575" t="s">
        <v>629</v>
      </c>
      <c r="C575" t="s">
        <v>635</v>
      </c>
      <c r="D575">
        <v>2</v>
      </c>
      <c r="E575" t="s">
        <v>640</v>
      </c>
      <c r="F575" t="s">
        <v>630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646</v>
      </c>
      <c r="M575" t="s">
        <v>637</v>
      </c>
    </row>
    <row r="576" spans="1:13" x14ac:dyDescent="0.3">
      <c r="A576" t="s">
        <v>1214</v>
      </c>
      <c r="B576" t="s">
        <v>629</v>
      </c>
      <c r="C576" t="s">
        <v>635</v>
      </c>
      <c r="D576" t="s">
        <v>645</v>
      </c>
      <c r="E576" t="s">
        <v>631</v>
      </c>
      <c r="F576" t="s">
        <v>630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646</v>
      </c>
      <c r="M576" t="s">
        <v>637</v>
      </c>
    </row>
    <row r="577" spans="1:13" x14ac:dyDescent="0.3">
      <c r="A577" t="s">
        <v>1215</v>
      </c>
      <c r="B577" t="s">
        <v>629</v>
      </c>
      <c r="C577" t="s">
        <v>635</v>
      </c>
      <c r="D577">
        <v>2</v>
      </c>
      <c r="E577" t="s">
        <v>631</v>
      </c>
      <c r="F577" t="s">
        <v>630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632</v>
      </c>
      <c r="M577" t="s">
        <v>633</v>
      </c>
    </row>
    <row r="578" spans="1:13" x14ac:dyDescent="0.3">
      <c r="A578" t="s">
        <v>1216</v>
      </c>
      <c r="C578" t="s">
        <v>635</v>
      </c>
      <c r="D578">
        <v>0</v>
      </c>
      <c r="E578" t="s">
        <v>631</v>
      </c>
      <c r="F578" t="s">
        <v>630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646</v>
      </c>
      <c r="M578" t="s">
        <v>637</v>
      </c>
    </row>
    <row r="579" spans="1:13" x14ac:dyDescent="0.3">
      <c r="A579" t="s">
        <v>1217</v>
      </c>
      <c r="B579" t="s">
        <v>629</v>
      </c>
      <c r="C579" t="s">
        <v>630</v>
      </c>
      <c r="D579">
        <v>0</v>
      </c>
      <c r="E579" t="s">
        <v>631</v>
      </c>
      <c r="F579" t="s">
        <v>630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632</v>
      </c>
      <c r="M579" t="s">
        <v>633</v>
      </c>
    </row>
    <row r="580" spans="1:13" x14ac:dyDescent="0.3">
      <c r="A580" t="s">
        <v>1218</v>
      </c>
      <c r="B580" t="s">
        <v>629</v>
      </c>
      <c r="C580" t="s">
        <v>635</v>
      </c>
      <c r="D580">
        <v>1</v>
      </c>
      <c r="E580" t="s">
        <v>631</v>
      </c>
      <c r="F580" t="s">
        <v>630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636</v>
      </c>
      <c r="M580" t="s">
        <v>633</v>
      </c>
    </row>
    <row r="581" spans="1:13" x14ac:dyDescent="0.3">
      <c r="A581" t="s">
        <v>1219</v>
      </c>
      <c r="B581" t="s">
        <v>629</v>
      </c>
      <c r="C581" t="s">
        <v>630</v>
      </c>
      <c r="D581">
        <v>0</v>
      </c>
      <c r="E581" t="s">
        <v>631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632</v>
      </c>
      <c r="M581" t="s">
        <v>633</v>
      </c>
    </row>
    <row r="582" spans="1:13" x14ac:dyDescent="0.3">
      <c r="A582" t="s">
        <v>1220</v>
      </c>
      <c r="B582" t="s">
        <v>629</v>
      </c>
      <c r="C582" t="s">
        <v>635</v>
      </c>
      <c r="D582">
        <v>2</v>
      </c>
      <c r="E582" t="s">
        <v>631</v>
      </c>
      <c r="F582" t="s">
        <v>630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646</v>
      </c>
      <c r="M582" t="s">
        <v>633</v>
      </c>
    </row>
    <row r="583" spans="1:13" x14ac:dyDescent="0.3">
      <c r="A583" t="s">
        <v>1221</v>
      </c>
      <c r="B583" t="s">
        <v>629</v>
      </c>
      <c r="C583" t="s">
        <v>630</v>
      </c>
      <c r="D583">
        <v>0</v>
      </c>
      <c r="E583" t="s">
        <v>631</v>
      </c>
      <c r="F583" t="s">
        <v>630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632</v>
      </c>
      <c r="M583" t="s">
        <v>637</v>
      </c>
    </row>
    <row r="584" spans="1:13" x14ac:dyDescent="0.3">
      <c r="A584" t="s">
        <v>1222</v>
      </c>
      <c r="B584" t="s">
        <v>657</v>
      </c>
      <c r="C584" t="s">
        <v>635</v>
      </c>
      <c r="D584">
        <v>0</v>
      </c>
      <c r="E584" t="s">
        <v>631</v>
      </c>
      <c r="F584" t="s">
        <v>630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646</v>
      </c>
      <c r="M584" t="s">
        <v>633</v>
      </c>
    </row>
    <row r="585" spans="1:13" x14ac:dyDescent="0.3">
      <c r="A585" t="s">
        <v>1223</v>
      </c>
      <c r="B585" t="s">
        <v>629</v>
      </c>
      <c r="C585" t="s">
        <v>635</v>
      </c>
      <c r="D585">
        <v>1</v>
      </c>
      <c r="E585" t="s">
        <v>631</v>
      </c>
      <c r="F585" t="s">
        <v>630</v>
      </c>
      <c r="G585">
        <v>1880</v>
      </c>
      <c r="H585">
        <v>0</v>
      </c>
      <c r="I585">
        <v>61</v>
      </c>
      <c r="J585">
        <v>360</v>
      </c>
      <c r="L585" t="s">
        <v>636</v>
      </c>
      <c r="M585" t="s">
        <v>637</v>
      </c>
    </row>
    <row r="586" spans="1:13" x14ac:dyDescent="0.3">
      <c r="A586" t="s">
        <v>1224</v>
      </c>
      <c r="B586" t="s">
        <v>629</v>
      </c>
      <c r="C586" t="s">
        <v>635</v>
      </c>
      <c r="D586">
        <v>1</v>
      </c>
      <c r="E586" t="s">
        <v>631</v>
      </c>
      <c r="F586" t="s">
        <v>630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636</v>
      </c>
      <c r="M586" t="s">
        <v>637</v>
      </c>
    </row>
    <row r="587" spans="1:13" x14ac:dyDescent="0.3">
      <c r="A587" t="s">
        <v>1225</v>
      </c>
      <c r="B587" t="s">
        <v>629</v>
      </c>
      <c r="C587" t="s">
        <v>635</v>
      </c>
      <c r="D587">
        <v>1</v>
      </c>
      <c r="E587" t="s">
        <v>631</v>
      </c>
      <c r="F587" t="s">
        <v>630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636</v>
      </c>
      <c r="M587" t="s">
        <v>637</v>
      </c>
    </row>
    <row r="588" spans="1:13" x14ac:dyDescent="0.3">
      <c r="A588" t="s">
        <v>1226</v>
      </c>
      <c r="B588" t="s">
        <v>629</v>
      </c>
      <c r="C588" t="s">
        <v>635</v>
      </c>
      <c r="D588">
        <v>0</v>
      </c>
      <c r="E588" t="s">
        <v>631</v>
      </c>
      <c r="F588" t="s">
        <v>630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632</v>
      </c>
      <c r="M588" t="s">
        <v>633</v>
      </c>
    </row>
    <row r="589" spans="1:13" x14ac:dyDescent="0.3">
      <c r="A589" t="s">
        <v>1227</v>
      </c>
      <c r="B589" t="s">
        <v>657</v>
      </c>
      <c r="C589" t="s">
        <v>630</v>
      </c>
      <c r="D589">
        <v>0</v>
      </c>
      <c r="E589" t="s">
        <v>640</v>
      </c>
      <c r="F589" t="s">
        <v>630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646</v>
      </c>
      <c r="M589" t="s">
        <v>633</v>
      </c>
    </row>
    <row r="590" spans="1:13" x14ac:dyDescent="0.3">
      <c r="A590" t="s">
        <v>1228</v>
      </c>
      <c r="C590" t="s">
        <v>630</v>
      </c>
      <c r="D590">
        <v>0</v>
      </c>
      <c r="E590" t="s">
        <v>631</v>
      </c>
      <c r="F590" t="s">
        <v>630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646</v>
      </c>
      <c r="M590" t="s">
        <v>633</v>
      </c>
    </row>
    <row r="591" spans="1:13" x14ac:dyDescent="0.3">
      <c r="A591" t="s">
        <v>1229</v>
      </c>
      <c r="B591" t="s">
        <v>629</v>
      </c>
      <c r="C591" t="s">
        <v>635</v>
      </c>
      <c r="D591">
        <v>2</v>
      </c>
      <c r="E591" t="s">
        <v>631</v>
      </c>
      <c r="F591" t="s">
        <v>635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646</v>
      </c>
      <c r="M591" t="s">
        <v>637</v>
      </c>
    </row>
    <row r="592" spans="1:13" x14ac:dyDescent="0.3">
      <c r="A592" t="s">
        <v>1230</v>
      </c>
      <c r="B592" t="s">
        <v>629</v>
      </c>
      <c r="C592" t="s">
        <v>635</v>
      </c>
      <c r="D592">
        <v>0</v>
      </c>
      <c r="E592" t="s">
        <v>631</v>
      </c>
      <c r="F592" t="s">
        <v>630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646</v>
      </c>
      <c r="M592" t="s">
        <v>633</v>
      </c>
    </row>
    <row r="593" spans="1:13" x14ac:dyDescent="0.3">
      <c r="A593" t="s">
        <v>1231</v>
      </c>
      <c r="B593" t="s">
        <v>629</v>
      </c>
      <c r="C593" t="s">
        <v>635</v>
      </c>
      <c r="D593">
        <v>2</v>
      </c>
      <c r="E593" t="s">
        <v>631</v>
      </c>
      <c r="F593" t="s">
        <v>635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646</v>
      </c>
      <c r="M593" t="s">
        <v>637</v>
      </c>
    </row>
    <row r="594" spans="1:13" x14ac:dyDescent="0.3">
      <c r="A594" t="s">
        <v>1232</v>
      </c>
      <c r="C594" t="s">
        <v>630</v>
      </c>
      <c r="D594" t="s">
        <v>645</v>
      </c>
      <c r="E594" t="s">
        <v>631</v>
      </c>
      <c r="F594" t="s">
        <v>635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646</v>
      </c>
      <c r="M594" t="s">
        <v>633</v>
      </c>
    </row>
    <row r="595" spans="1:13" x14ac:dyDescent="0.3">
      <c r="A595" t="s">
        <v>1233</v>
      </c>
      <c r="B595" t="s">
        <v>629</v>
      </c>
      <c r="C595" t="s">
        <v>635</v>
      </c>
      <c r="D595">
        <v>0</v>
      </c>
      <c r="E595" t="s">
        <v>631</v>
      </c>
      <c r="F595" t="s">
        <v>630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636</v>
      </c>
      <c r="M595" t="s">
        <v>633</v>
      </c>
    </row>
    <row r="596" spans="1:13" x14ac:dyDescent="0.3">
      <c r="A596" t="s">
        <v>1234</v>
      </c>
      <c r="B596" t="s">
        <v>629</v>
      </c>
      <c r="C596" t="s">
        <v>635</v>
      </c>
      <c r="D596">
        <v>0</v>
      </c>
      <c r="E596" t="s">
        <v>631</v>
      </c>
      <c r="F596" t="s">
        <v>635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632</v>
      </c>
      <c r="M596" t="s">
        <v>633</v>
      </c>
    </row>
    <row r="597" spans="1:13" x14ac:dyDescent="0.3">
      <c r="A597" t="s">
        <v>1235</v>
      </c>
      <c r="B597" t="s">
        <v>629</v>
      </c>
      <c r="C597" t="s">
        <v>630</v>
      </c>
      <c r="D597">
        <v>0</v>
      </c>
      <c r="E597" t="s">
        <v>640</v>
      </c>
      <c r="F597" t="s">
        <v>630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636</v>
      </c>
      <c r="M597" t="s">
        <v>633</v>
      </c>
    </row>
    <row r="598" spans="1:13" x14ac:dyDescent="0.3">
      <c r="A598" t="s">
        <v>1236</v>
      </c>
      <c r="B598" t="s">
        <v>629</v>
      </c>
      <c r="C598" t="s">
        <v>635</v>
      </c>
      <c r="D598">
        <v>2</v>
      </c>
      <c r="E598" t="s">
        <v>640</v>
      </c>
      <c r="F598" t="s">
        <v>635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636</v>
      </c>
      <c r="M598" t="s">
        <v>637</v>
      </c>
    </row>
    <row r="599" spans="1:13" x14ac:dyDescent="0.3">
      <c r="A599" t="s">
        <v>1237</v>
      </c>
      <c r="B599" t="s">
        <v>629</v>
      </c>
      <c r="C599" t="s">
        <v>630</v>
      </c>
      <c r="E599" t="s">
        <v>631</v>
      </c>
      <c r="F599" t="s">
        <v>630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646</v>
      </c>
      <c r="M599" t="s">
        <v>637</v>
      </c>
    </row>
    <row r="600" spans="1:13" x14ac:dyDescent="0.3">
      <c r="A600" t="s">
        <v>1238</v>
      </c>
      <c r="B600" t="s">
        <v>629</v>
      </c>
      <c r="C600" t="s">
        <v>635</v>
      </c>
      <c r="D600">
        <v>0</v>
      </c>
      <c r="E600" t="s">
        <v>631</v>
      </c>
      <c r="F600" t="s">
        <v>635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636</v>
      </c>
      <c r="M600" t="s">
        <v>633</v>
      </c>
    </row>
    <row r="601" spans="1:13" x14ac:dyDescent="0.3">
      <c r="A601" t="s">
        <v>1239</v>
      </c>
      <c r="B601" t="s">
        <v>629</v>
      </c>
      <c r="C601" t="s">
        <v>635</v>
      </c>
      <c r="D601">
        <v>2</v>
      </c>
      <c r="E601" t="s">
        <v>631</v>
      </c>
      <c r="F601" t="s">
        <v>630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632</v>
      </c>
      <c r="M601" t="s">
        <v>633</v>
      </c>
    </row>
    <row r="602" spans="1:13" x14ac:dyDescent="0.3">
      <c r="A602" t="s">
        <v>1240</v>
      </c>
      <c r="B602" t="s">
        <v>657</v>
      </c>
      <c r="C602" t="s">
        <v>630</v>
      </c>
      <c r="D602" t="s">
        <v>645</v>
      </c>
      <c r="E602" t="s">
        <v>631</v>
      </c>
      <c r="G602">
        <v>416</v>
      </c>
      <c r="H602">
        <v>41667</v>
      </c>
      <c r="I602">
        <v>350</v>
      </c>
      <c r="J602">
        <v>180</v>
      </c>
      <c r="L602" t="s">
        <v>632</v>
      </c>
      <c r="M602" t="s">
        <v>637</v>
      </c>
    </row>
    <row r="603" spans="1:13" x14ac:dyDescent="0.3">
      <c r="A603" t="s">
        <v>1241</v>
      </c>
      <c r="B603" t="s">
        <v>629</v>
      </c>
      <c r="C603" t="s">
        <v>635</v>
      </c>
      <c r="D603">
        <v>0</v>
      </c>
      <c r="E603" t="s">
        <v>640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636</v>
      </c>
      <c r="M603" t="s">
        <v>633</v>
      </c>
    </row>
    <row r="604" spans="1:13" x14ac:dyDescent="0.3">
      <c r="A604" t="s">
        <v>1242</v>
      </c>
      <c r="B604" t="s">
        <v>629</v>
      </c>
      <c r="C604" t="s">
        <v>635</v>
      </c>
      <c r="D604" t="s">
        <v>645</v>
      </c>
      <c r="E604" t="s">
        <v>631</v>
      </c>
      <c r="F604" t="s">
        <v>630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632</v>
      </c>
      <c r="M604" t="s">
        <v>633</v>
      </c>
    </row>
    <row r="605" spans="1:13" x14ac:dyDescent="0.3">
      <c r="A605" t="s">
        <v>1243</v>
      </c>
      <c r="B605" t="s">
        <v>629</v>
      </c>
      <c r="C605" t="s">
        <v>630</v>
      </c>
      <c r="D605">
        <v>0</v>
      </c>
      <c r="E605" t="s">
        <v>631</v>
      </c>
      <c r="F605" t="s">
        <v>630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636</v>
      </c>
      <c r="M605" t="s">
        <v>633</v>
      </c>
    </row>
    <row r="606" spans="1:13" x14ac:dyDescent="0.3">
      <c r="A606" t="s">
        <v>1244</v>
      </c>
      <c r="B606" t="s">
        <v>657</v>
      </c>
      <c r="C606" t="s">
        <v>635</v>
      </c>
      <c r="D606">
        <v>1</v>
      </c>
      <c r="E606" t="s">
        <v>631</v>
      </c>
      <c r="F606" t="s">
        <v>630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646</v>
      </c>
      <c r="M606" t="s">
        <v>633</v>
      </c>
    </row>
    <row r="607" spans="1:13" x14ac:dyDescent="0.3">
      <c r="A607" t="s">
        <v>1245</v>
      </c>
      <c r="B607" t="s">
        <v>629</v>
      </c>
      <c r="C607" t="s">
        <v>635</v>
      </c>
      <c r="D607">
        <v>0</v>
      </c>
      <c r="E607" t="s">
        <v>640</v>
      </c>
      <c r="F607" t="s">
        <v>630</v>
      </c>
      <c r="G607">
        <v>2400</v>
      </c>
      <c r="H607">
        <v>3800</v>
      </c>
      <c r="J607">
        <v>180</v>
      </c>
      <c r="K607">
        <v>1</v>
      </c>
      <c r="L607" t="s">
        <v>632</v>
      </c>
      <c r="M607" t="s">
        <v>637</v>
      </c>
    </row>
    <row r="608" spans="1:13" x14ac:dyDescent="0.3">
      <c r="A608" t="s">
        <v>1246</v>
      </c>
      <c r="B608" t="s">
        <v>629</v>
      </c>
      <c r="C608" t="s">
        <v>635</v>
      </c>
      <c r="D608">
        <v>1</v>
      </c>
      <c r="E608" t="s">
        <v>631</v>
      </c>
      <c r="F608" t="s">
        <v>630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646</v>
      </c>
      <c r="M608" t="s">
        <v>633</v>
      </c>
    </row>
    <row r="609" spans="1:13" x14ac:dyDescent="0.3">
      <c r="A609" t="s">
        <v>1247</v>
      </c>
      <c r="B609" t="s">
        <v>629</v>
      </c>
      <c r="C609" t="s">
        <v>635</v>
      </c>
      <c r="D609">
        <v>2</v>
      </c>
      <c r="E609" t="s">
        <v>640</v>
      </c>
      <c r="F609" t="s">
        <v>630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636</v>
      </c>
      <c r="M609" t="s">
        <v>633</v>
      </c>
    </row>
    <row r="610" spans="1:13" x14ac:dyDescent="0.3">
      <c r="A610" t="s">
        <v>1248</v>
      </c>
      <c r="B610" t="s">
        <v>629</v>
      </c>
      <c r="C610" t="s">
        <v>635</v>
      </c>
      <c r="D610">
        <v>0</v>
      </c>
      <c r="E610" t="s">
        <v>631</v>
      </c>
      <c r="F610" t="s">
        <v>630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636</v>
      </c>
      <c r="M610" t="s">
        <v>633</v>
      </c>
    </row>
    <row r="611" spans="1:13" x14ac:dyDescent="0.3">
      <c r="A611" t="s">
        <v>1249</v>
      </c>
      <c r="B611" t="s">
        <v>657</v>
      </c>
      <c r="C611" t="s">
        <v>630</v>
      </c>
      <c r="D611">
        <v>0</v>
      </c>
      <c r="E611" t="s">
        <v>631</v>
      </c>
      <c r="F611" t="s">
        <v>630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636</v>
      </c>
      <c r="M611" t="s">
        <v>633</v>
      </c>
    </row>
    <row r="612" spans="1:13" x14ac:dyDescent="0.3">
      <c r="A612" t="s">
        <v>1250</v>
      </c>
      <c r="B612" t="s">
        <v>629</v>
      </c>
      <c r="C612" t="s">
        <v>635</v>
      </c>
      <c r="D612" t="s">
        <v>645</v>
      </c>
      <c r="E612" t="s">
        <v>631</v>
      </c>
      <c r="F612" t="s">
        <v>630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636</v>
      </c>
      <c r="M612" t="s">
        <v>633</v>
      </c>
    </row>
    <row r="613" spans="1:13" x14ac:dyDescent="0.3">
      <c r="A613" t="s">
        <v>1251</v>
      </c>
      <c r="B613" t="s">
        <v>629</v>
      </c>
      <c r="C613" t="s">
        <v>635</v>
      </c>
      <c r="D613">
        <v>1</v>
      </c>
      <c r="E613" t="s">
        <v>631</v>
      </c>
      <c r="F613" t="s">
        <v>630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632</v>
      </c>
      <c r="M613" t="s">
        <v>633</v>
      </c>
    </row>
    <row r="614" spans="1:13" x14ac:dyDescent="0.3">
      <c r="A614" t="s">
        <v>1252</v>
      </c>
      <c r="B614" t="s">
        <v>629</v>
      </c>
      <c r="C614" t="s">
        <v>635</v>
      </c>
      <c r="D614">
        <v>2</v>
      </c>
      <c r="E614" t="s">
        <v>631</v>
      </c>
      <c r="F614" t="s">
        <v>630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632</v>
      </c>
      <c r="M614" t="s">
        <v>633</v>
      </c>
    </row>
    <row r="615" spans="1:13" x14ac:dyDescent="0.3">
      <c r="A615" t="s">
        <v>1253</v>
      </c>
      <c r="B615" t="s">
        <v>657</v>
      </c>
      <c r="C615" t="s">
        <v>630</v>
      </c>
      <c r="D615">
        <v>0</v>
      </c>
      <c r="E615" t="s">
        <v>631</v>
      </c>
      <c r="F615" t="s">
        <v>635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646</v>
      </c>
      <c r="M615" t="s">
        <v>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F97F-F4E2-4946-BFFE-DE582BC90F34}">
  <dimension ref="A1:M471"/>
  <sheetViews>
    <sheetView topLeftCell="A3" workbookViewId="0">
      <selection activeCell="I19" sqref="A1:M471"/>
    </sheetView>
  </sheetViews>
  <sheetFormatPr defaultRowHeight="14.4" x14ac:dyDescent="0.3"/>
  <sheetData>
    <row r="1" spans="1:13" x14ac:dyDescent="0.3">
      <c r="A1" t="s">
        <v>615</v>
      </c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</row>
    <row r="2" spans="1:13" x14ac:dyDescent="0.3">
      <c r="A2" t="s">
        <v>651</v>
      </c>
      <c r="B2" t="s">
        <v>629</v>
      </c>
      <c r="C2" t="s">
        <v>635</v>
      </c>
      <c r="D2">
        <v>2</v>
      </c>
      <c r="E2" t="s">
        <v>631</v>
      </c>
      <c r="F2" t="s">
        <v>630</v>
      </c>
      <c r="G2">
        <v>3073</v>
      </c>
      <c r="H2">
        <v>8106</v>
      </c>
      <c r="I2">
        <v>200</v>
      </c>
      <c r="J2">
        <v>360</v>
      </c>
      <c r="K2">
        <v>1</v>
      </c>
      <c r="L2" t="s">
        <v>632</v>
      </c>
      <c r="M2" t="s">
        <v>633</v>
      </c>
    </row>
    <row r="3" spans="1:13" x14ac:dyDescent="0.3">
      <c r="A3" t="s">
        <v>652</v>
      </c>
      <c r="B3" t="s">
        <v>629</v>
      </c>
      <c r="C3" t="s">
        <v>630</v>
      </c>
      <c r="D3">
        <v>0</v>
      </c>
      <c r="E3" t="s">
        <v>631</v>
      </c>
      <c r="F3" t="s">
        <v>630</v>
      </c>
      <c r="G3">
        <v>1853</v>
      </c>
      <c r="H3">
        <v>2840</v>
      </c>
      <c r="I3">
        <v>114</v>
      </c>
      <c r="J3">
        <v>360</v>
      </c>
      <c r="K3">
        <v>1</v>
      </c>
      <c r="L3" t="s">
        <v>636</v>
      </c>
      <c r="M3" t="s">
        <v>637</v>
      </c>
    </row>
    <row r="4" spans="1:13" x14ac:dyDescent="0.3">
      <c r="A4" t="s">
        <v>653</v>
      </c>
      <c r="B4" t="s">
        <v>629</v>
      </c>
      <c r="C4" t="s">
        <v>635</v>
      </c>
      <c r="D4">
        <v>2</v>
      </c>
      <c r="E4" t="s">
        <v>631</v>
      </c>
      <c r="F4" t="s">
        <v>630</v>
      </c>
      <c r="G4">
        <v>1299</v>
      </c>
      <c r="H4">
        <v>1086</v>
      </c>
      <c r="I4">
        <v>17</v>
      </c>
      <c r="J4">
        <v>120</v>
      </c>
      <c r="K4">
        <v>1</v>
      </c>
      <c r="L4" t="s">
        <v>632</v>
      </c>
      <c r="M4" t="s">
        <v>633</v>
      </c>
    </row>
    <row r="5" spans="1:13" x14ac:dyDescent="0.3">
      <c r="A5" t="s">
        <v>654</v>
      </c>
      <c r="B5" t="s">
        <v>629</v>
      </c>
      <c r="C5" t="s">
        <v>630</v>
      </c>
      <c r="D5">
        <v>0</v>
      </c>
      <c r="E5" t="s">
        <v>631</v>
      </c>
      <c r="F5" t="s">
        <v>630</v>
      </c>
      <c r="G5">
        <v>4950</v>
      </c>
      <c r="H5">
        <v>0</v>
      </c>
      <c r="I5">
        <v>125</v>
      </c>
      <c r="J5">
        <v>360</v>
      </c>
      <c r="K5">
        <v>1</v>
      </c>
      <c r="L5" t="s">
        <v>632</v>
      </c>
      <c r="M5" t="s">
        <v>633</v>
      </c>
    </row>
    <row r="6" spans="1:13" x14ac:dyDescent="0.3">
      <c r="A6" t="s">
        <v>656</v>
      </c>
      <c r="B6" t="s">
        <v>657</v>
      </c>
      <c r="C6" t="s">
        <v>630</v>
      </c>
      <c r="D6">
        <v>0</v>
      </c>
      <c r="E6" t="s">
        <v>631</v>
      </c>
      <c r="F6" t="s">
        <v>630</v>
      </c>
      <c r="G6">
        <v>3510</v>
      </c>
      <c r="H6">
        <v>0</v>
      </c>
      <c r="I6">
        <v>76</v>
      </c>
      <c r="J6">
        <v>360</v>
      </c>
      <c r="K6">
        <v>0</v>
      </c>
      <c r="L6" t="s">
        <v>632</v>
      </c>
      <c r="M6" t="s">
        <v>637</v>
      </c>
    </row>
    <row r="7" spans="1:13" x14ac:dyDescent="0.3">
      <c r="A7" t="s">
        <v>658</v>
      </c>
      <c r="B7" t="s">
        <v>629</v>
      </c>
      <c r="C7" t="s">
        <v>635</v>
      </c>
      <c r="D7">
        <v>0</v>
      </c>
      <c r="E7" t="s">
        <v>640</v>
      </c>
      <c r="F7" t="s">
        <v>630</v>
      </c>
      <c r="G7">
        <v>4887</v>
      </c>
      <c r="H7">
        <v>0</v>
      </c>
      <c r="I7">
        <v>133</v>
      </c>
      <c r="J7">
        <v>360</v>
      </c>
      <c r="K7">
        <v>1</v>
      </c>
      <c r="L7" t="s">
        <v>636</v>
      </c>
      <c r="M7" t="s">
        <v>637</v>
      </c>
    </row>
    <row r="8" spans="1:13" x14ac:dyDescent="0.3">
      <c r="A8" t="s">
        <v>660</v>
      </c>
      <c r="B8" t="s">
        <v>629</v>
      </c>
      <c r="C8" t="s">
        <v>635</v>
      </c>
      <c r="D8">
        <v>0</v>
      </c>
      <c r="E8" t="s">
        <v>640</v>
      </c>
      <c r="F8" t="s">
        <v>630</v>
      </c>
      <c r="G8">
        <v>7660</v>
      </c>
      <c r="H8">
        <v>0</v>
      </c>
      <c r="I8">
        <v>104</v>
      </c>
      <c r="J8">
        <v>360</v>
      </c>
      <c r="K8">
        <v>0</v>
      </c>
      <c r="L8" t="s">
        <v>632</v>
      </c>
      <c r="M8" t="s">
        <v>637</v>
      </c>
    </row>
    <row r="9" spans="1:13" x14ac:dyDescent="0.3">
      <c r="A9" t="s">
        <v>661</v>
      </c>
      <c r="B9" t="s">
        <v>629</v>
      </c>
      <c r="C9" t="s">
        <v>635</v>
      </c>
      <c r="D9">
        <v>1</v>
      </c>
      <c r="E9" t="s">
        <v>631</v>
      </c>
      <c r="F9" t="s">
        <v>630</v>
      </c>
      <c r="G9">
        <v>5955</v>
      </c>
      <c r="H9">
        <v>5625</v>
      </c>
      <c r="I9">
        <v>315</v>
      </c>
      <c r="J9">
        <v>360</v>
      </c>
      <c r="K9">
        <v>1</v>
      </c>
      <c r="L9" t="s">
        <v>632</v>
      </c>
      <c r="M9" t="s">
        <v>633</v>
      </c>
    </row>
    <row r="10" spans="1:13" x14ac:dyDescent="0.3">
      <c r="A10" t="s">
        <v>662</v>
      </c>
      <c r="B10" t="s">
        <v>629</v>
      </c>
      <c r="C10" t="s">
        <v>635</v>
      </c>
      <c r="D10">
        <v>0</v>
      </c>
      <c r="E10" t="s">
        <v>640</v>
      </c>
      <c r="F10" t="s">
        <v>630</v>
      </c>
      <c r="G10">
        <v>2600</v>
      </c>
      <c r="H10">
        <v>1911</v>
      </c>
      <c r="I10">
        <v>116</v>
      </c>
      <c r="J10">
        <v>360</v>
      </c>
      <c r="K10">
        <v>0</v>
      </c>
      <c r="L10" t="s">
        <v>646</v>
      </c>
      <c r="M10" t="s">
        <v>637</v>
      </c>
    </row>
    <row r="11" spans="1:13" x14ac:dyDescent="0.3">
      <c r="A11" t="s">
        <v>665</v>
      </c>
      <c r="B11" t="s">
        <v>629</v>
      </c>
      <c r="C11" t="s">
        <v>635</v>
      </c>
      <c r="D11">
        <v>0</v>
      </c>
      <c r="E11" t="s">
        <v>631</v>
      </c>
      <c r="F11" t="s">
        <v>635</v>
      </c>
      <c r="G11">
        <v>9560</v>
      </c>
      <c r="H11">
        <v>0</v>
      </c>
      <c r="I11">
        <v>191</v>
      </c>
      <c r="J11">
        <v>360</v>
      </c>
      <c r="K11">
        <v>1</v>
      </c>
      <c r="L11" t="s">
        <v>646</v>
      </c>
      <c r="M11" t="s">
        <v>633</v>
      </c>
    </row>
    <row r="12" spans="1:13" x14ac:dyDescent="0.3">
      <c r="A12" t="s">
        <v>666</v>
      </c>
      <c r="B12" t="s">
        <v>629</v>
      </c>
      <c r="C12" t="s">
        <v>635</v>
      </c>
      <c r="D12">
        <v>0</v>
      </c>
      <c r="E12" t="s">
        <v>631</v>
      </c>
      <c r="F12" t="s">
        <v>630</v>
      </c>
      <c r="G12">
        <v>2799</v>
      </c>
      <c r="H12">
        <v>2253</v>
      </c>
      <c r="I12">
        <v>122</v>
      </c>
      <c r="J12">
        <v>360</v>
      </c>
      <c r="K12">
        <v>1</v>
      </c>
      <c r="L12" t="s">
        <v>646</v>
      </c>
      <c r="M12" t="s">
        <v>633</v>
      </c>
    </row>
    <row r="13" spans="1:13" x14ac:dyDescent="0.3">
      <c r="A13" t="s">
        <v>667</v>
      </c>
      <c r="B13" t="s">
        <v>629</v>
      </c>
      <c r="C13" t="s">
        <v>635</v>
      </c>
      <c r="D13">
        <v>2</v>
      </c>
      <c r="E13" t="s">
        <v>640</v>
      </c>
      <c r="F13" t="s">
        <v>630</v>
      </c>
      <c r="G13">
        <v>4226</v>
      </c>
      <c r="H13">
        <v>1040</v>
      </c>
      <c r="I13">
        <v>110</v>
      </c>
      <c r="J13">
        <v>360</v>
      </c>
      <c r="K13">
        <v>1</v>
      </c>
      <c r="L13" t="s">
        <v>632</v>
      </c>
      <c r="M13" t="s">
        <v>633</v>
      </c>
    </row>
    <row r="14" spans="1:13" x14ac:dyDescent="0.3">
      <c r="A14" t="s">
        <v>668</v>
      </c>
      <c r="B14" t="s">
        <v>629</v>
      </c>
      <c r="C14" t="s">
        <v>630</v>
      </c>
      <c r="D14">
        <v>0</v>
      </c>
      <c r="E14" t="s">
        <v>640</v>
      </c>
      <c r="F14" t="s">
        <v>630</v>
      </c>
      <c r="G14">
        <v>1442</v>
      </c>
      <c r="H14">
        <v>0</v>
      </c>
      <c r="I14">
        <v>35</v>
      </c>
      <c r="J14">
        <v>360</v>
      </c>
      <c r="K14">
        <v>1</v>
      </c>
      <c r="L14" t="s">
        <v>632</v>
      </c>
      <c r="M14" t="s">
        <v>637</v>
      </c>
    </row>
    <row r="15" spans="1:13" x14ac:dyDescent="0.3">
      <c r="A15" t="s">
        <v>671</v>
      </c>
      <c r="B15" t="s">
        <v>629</v>
      </c>
      <c r="C15" t="s">
        <v>630</v>
      </c>
      <c r="D15">
        <v>0</v>
      </c>
      <c r="E15" t="s">
        <v>631</v>
      </c>
      <c r="F15" t="s">
        <v>630</v>
      </c>
      <c r="G15">
        <v>3167</v>
      </c>
      <c r="H15">
        <v>0</v>
      </c>
      <c r="I15">
        <v>74</v>
      </c>
      <c r="J15">
        <v>360</v>
      </c>
      <c r="K15">
        <v>1</v>
      </c>
      <c r="L15" t="s">
        <v>632</v>
      </c>
      <c r="M15" t="s">
        <v>637</v>
      </c>
    </row>
    <row r="16" spans="1:13" x14ac:dyDescent="0.3">
      <c r="A16" t="s">
        <v>672</v>
      </c>
      <c r="B16" t="s">
        <v>629</v>
      </c>
      <c r="C16" t="s">
        <v>630</v>
      </c>
      <c r="D16">
        <v>1</v>
      </c>
      <c r="E16" t="s">
        <v>631</v>
      </c>
      <c r="F16" t="s">
        <v>635</v>
      </c>
      <c r="G16">
        <v>4692</v>
      </c>
      <c r="H16">
        <v>0</v>
      </c>
      <c r="I16">
        <v>106</v>
      </c>
      <c r="J16">
        <v>360</v>
      </c>
      <c r="K16">
        <v>1</v>
      </c>
      <c r="L16" t="s">
        <v>636</v>
      </c>
      <c r="M16" t="s">
        <v>637</v>
      </c>
    </row>
    <row r="17" spans="1:13" x14ac:dyDescent="0.3">
      <c r="A17" t="s">
        <v>673</v>
      </c>
      <c r="B17" t="s">
        <v>629</v>
      </c>
      <c r="C17" t="s">
        <v>635</v>
      </c>
      <c r="D17">
        <v>0</v>
      </c>
      <c r="E17" t="s">
        <v>631</v>
      </c>
      <c r="F17" t="s">
        <v>630</v>
      </c>
      <c r="G17">
        <v>3500</v>
      </c>
      <c r="H17">
        <v>1667</v>
      </c>
      <c r="I17">
        <v>114</v>
      </c>
      <c r="J17">
        <v>360</v>
      </c>
      <c r="K17">
        <v>1</v>
      </c>
      <c r="L17" t="s">
        <v>646</v>
      </c>
      <c r="M17" t="s">
        <v>633</v>
      </c>
    </row>
    <row r="18" spans="1:13" x14ac:dyDescent="0.3">
      <c r="A18" t="s">
        <v>674</v>
      </c>
      <c r="B18" t="s">
        <v>629</v>
      </c>
      <c r="C18" t="s">
        <v>630</v>
      </c>
      <c r="D18" t="s">
        <v>645</v>
      </c>
      <c r="E18" t="s">
        <v>631</v>
      </c>
      <c r="F18" t="s">
        <v>630</v>
      </c>
      <c r="G18">
        <v>12500</v>
      </c>
      <c r="H18">
        <v>3000</v>
      </c>
      <c r="I18">
        <v>320</v>
      </c>
      <c r="J18">
        <v>360</v>
      </c>
      <c r="K18">
        <v>1</v>
      </c>
      <c r="L18" t="s">
        <v>636</v>
      </c>
      <c r="M18" t="s">
        <v>637</v>
      </c>
    </row>
    <row r="19" spans="1:13" x14ac:dyDescent="0.3">
      <c r="A19" t="s">
        <v>677</v>
      </c>
      <c r="B19" t="s">
        <v>657</v>
      </c>
      <c r="C19" t="s">
        <v>635</v>
      </c>
      <c r="D19">
        <v>0</v>
      </c>
      <c r="E19" t="s">
        <v>631</v>
      </c>
      <c r="F19" t="s">
        <v>630</v>
      </c>
      <c r="G19">
        <v>3667</v>
      </c>
      <c r="H19">
        <v>1459</v>
      </c>
      <c r="I19">
        <v>144</v>
      </c>
      <c r="J19">
        <v>360</v>
      </c>
      <c r="K19">
        <v>1</v>
      </c>
      <c r="L19" t="s">
        <v>646</v>
      </c>
      <c r="M19" t="s">
        <v>633</v>
      </c>
    </row>
    <row r="20" spans="1:13" x14ac:dyDescent="0.3">
      <c r="A20" t="s">
        <v>678</v>
      </c>
      <c r="B20" t="s">
        <v>629</v>
      </c>
      <c r="C20" t="s">
        <v>630</v>
      </c>
      <c r="D20">
        <v>0</v>
      </c>
      <c r="E20" t="s">
        <v>631</v>
      </c>
      <c r="F20" t="s">
        <v>630</v>
      </c>
      <c r="G20">
        <v>4166</v>
      </c>
      <c r="H20">
        <v>7210</v>
      </c>
      <c r="I20">
        <v>184</v>
      </c>
      <c r="J20">
        <v>360</v>
      </c>
      <c r="K20">
        <v>1</v>
      </c>
      <c r="L20" t="s">
        <v>632</v>
      </c>
      <c r="M20" t="s">
        <v>633</v>
      </c>
    </row>
    <row r="21" spans="1:13" x14ac:dyDescent="0.3">
      <c r="A21" t="s">
        <v>679</v>
      </c>
      <c r="B21" t="s">
        <v>629</v>
      </c>
      <c r="C21" t="s">
        <v>630</v>
      </c>
      <c r="D21">
        <v>0</v>
      </c>
      <c r="E21" t="s">
        <v>640</v>
      </c>
      <c r="F21" t="s">
        <v>630</v>
      </c>
      <c r="G21">
        <v>3748</v>
      </c>
      <c r="H21">
        <v>1668</v>
      </c>
      <c r="I21">
        <v>110</v>
      </c>
      <c r="J21">
        <v>360</v>
      </c>
      <c r="K21">
        <v>1</v>
      </c>
      <c r="L21" t="s">
        <v>646</v>
      </c>
      <c r="M21" t="s">
        <v>633</v>
      </c>
    </row>
    <row r="22" spans="1:13" x14ac:dyDescent="0.3">
      <c r="A22" t="s">
        <v>680</v>
      </c>
      <c r="B22" t="s">
        <v>629</v>
      </c>
      <c r="C22" t="s">
        <v>630</v>
      </c>
      <c r="D22">
        <v>0</v>
      </c>
      <c r="E22" t="s">
        <v>631</v>
      </c>
      <c r="F22" t="s">
        <v>630</v>
      </c>
      <c r="G22">
        <v>3600</v>
      </c>
      <c r="H22">
        <v>0</v>
      </c>
      <c r="I22">
        <v>80</v>
      </c>
      <c r="J22">
        <v>360</v>
      </c>
      <c r="K22">
        <v>1</v>
      </c>
      <c r="L22" t="s">
        <v>632</v>
      </c>
      <c r="M22" t="s">
        <v>637</v>
      </c>
    </row>
    <row r="23" spans="1:13" x14ac:dyDescent="0.3">
      <c r="A23" t="s">
        <v>681</v>
      </c>
      <c r="B23" t="s">
        <v>629</v>
      </c>
      <c r="C23" t="s">
        <v>630</v>
      </c>
      <c r="D23">
        <v>0</v>
      </c>
      <c r="E23" t="s">
        <v>631</v>
      </c>
      <c r="F23" t="s">
        <v>630</v>
      </c>
      <c r="G23">
        <v>1800</v>
      </c>
      <c r="H23">
        <v>1213</v>
      </c>
      <c r="I23">
        <v>47</v>
      </c>
      <c r="J23">
        <v>360</v>
      </c>
      <c r="K23">
        <v>1</v>
      </c>
      <c r="L23" t="s">
        <v>632</v>
      </c>
      <c r="M23" t="s">
        <v>633</v>
      </c>
    </row>
    <row r="24" spans="1:13" x14ac:dyDescent="0.3">
      <c r="A24" t="s">
        <v>683</v>
      </c>
      <c r="B24" t="s">
        <v>629</v>
      </c>
      <c r="C24" t="s">
        <v>635</v>
      </c>
      <c r="D24">
        <v>0</v>
      </c>
      <c r="E24" t="s">
        <v>631</v>
      </c>
      <c r="F24" t="s">
        <v>630</v>
      </c>
      <c r="G24">
        <v>3941</v>
      </c>
      <c r="H24">
        <v>2336</v>
      </c>
      <c r="I24">
        <v>134</v>
      </c>
      <c r="J24">
        <v>360</v>
      </c>
      <c r="K24">
        <v>1</v>
      </c>
      <c r="L24" t="s">
        <v>646</v>
      </c>
      <c r="M24" t="s">
        <v>633</v>
      </c>
    </row>
    <row r="25" spans="1:13" x14ac:dyDescent="0.3">
      <c r="A25" t="s">
        <v>686</v>
      </c>
      <c r="B25" t="s">
        <v>629</v>
      </c>
      <c r="C25" t="s">
        <v>635</v>
      </c>
      <c r="D25">
        <v>1</v>
      </c>
      <c r="E25" t="s">
        <v>631</v>
      </c>
      <c r="F25" t="s">
        <v>630</v>
      </c>
      <c r="G25">
        <v>5649</v>
      </c>
      <c r="H25">
        <v>0</v>
      </c>
      <c r="I25">
        <v>44</v>
      </c>
      <c r="J25">
        <v>360</v>
      </c>
      <c r="K25">
        <v>1</v>
      </c>
      <c r="L25" t="s">
        <v>632</v>
      </c>
      <c r="M25" t="s">
        <v>633</v>
      </c>
    </row>
    <row r="26" spans="1:13" x14ac:dyDescent="0.3">
      <c r="A26" t="s">
        <v>687</v>
      </c>
      <c r="B26" t="s">
        <v>629</v>
      </c>
      <c r="C26" t="s">
        <v>635</v>
      </c>
      <c r="D26">
        <v>0</v>
      </c>
      <c r="E26" t="s">
        <v>631</v>
      </c>
      <c r="F26" t="s">
        <v>630</v>
      </c>
      <c r="G26">
        <v>5821</v>
      </c>
      <c r="H26">
        <v>0</v>
      </c>
      <c r="I26">
        <v>144</v>
      </c>
      <c r="J26">
        <v>360</v>
      </c>
      <c r="K26">
        <v>1</v>
      </c>
      <c r="L26" t="s">
        <v>632</v>
      </c>
      <c r="M26" t="s">
        <v>633</v>
      </c>
    </row>
    <row r="27" spans="1:13" x14ac:dyDescent="0.3">
      <c r="A27" t="s">
        <v>688</v>
      </c>
      <c r="B27" t="s">
        <v>657</v>
      </c>
      <c r="C27" t="s">
        <v>635</v>
      </c>
      <c r="D27">
        <v>0</v>
      </c>
      <c r="E27" t="s">
        <v>631</v>
      </c>
      <c r="F27" t="s">
        <v>630</v>
      </c>
      <c r="G27">
        <v>2645</v>
      </c>
      <c r="H27">
        <v>3440</v>
      </c>
      <c r="I27">
        <v>120</v>
      </c>
      <c r="J27">
        <v>360</v>
      </c>
      <c r="K27">
        <v>0</v>
      </c>
      <c r="L27" t="s">
        <v>632</v>
      </c>
      <c r="M27" t="s">
        <v>637</v>
      </c>
    </row>
    <row r="28" spans="1:13" x14ac:dyDescent="0.3">
      <c r="A28" t="s">
        <v>689</v>
      </c>
      <c r="B28" t="s">
        <v>657</v>
      </c>
      <c r="C28" t="s">
        <v>630</v>
      </c>
      <c r="D28">
        <v>0</v>
      </c>
      <c r="E28" t="s">
        <v>631</v>
      </c>
      <c r="F28" t="s">
        <v>630</v>
      </c>
      <c r="G28">
        <v>4000</v>
      </c>
      <c r="H28">
        <v>2275</v>
      </c>
      <c r="I28">
        <v>144</v>
      </c>
      <c r="J28">
        <v>360</v>
      </c>
      <c r="K28">
        <v>1</v>
      </c>
      <c r="L28" t="s">
        <v>646</v>
      </c>
      <c r="M28" t="s">
        <v>633</v>
      </c>
    </row>
    <row r="29" spans="1:13" x14ac:dyDescent="0.3">
      <c r="A29" t="s">
        <v>690</v>
      </c>
      <c r="B29" t="s">
        <v>657</v>
      </c>
      <c r="C29" t="s">
        <v>635</v>
      </c>
      <c r="D29">
        <v>0</v>
      </c>
      <c r="E29" t="s">
        <v>640</v>
      </c>
      <c r="F29" t="s">
        <v>630</v>
      </c>
      <c r="G29">
        <v>1928</v>
      </c>
      <c r="H29">
        <v>1644</v>
      </c>
      <c r="I29">
        <v>100</v>
      </c>
      <c r="J29">
        <v>360</v>
      </c>
      <c r="K29">
        <v>1</v>
      </c>
      <c r="L29" t="s">
        <v>646</v>
      </c>
      <c r="M29" t="s">
        <v>633</v>
      </c>
    </row>
    <row r="30" spans="1:13" x14ac:dyDescent="0.3">
      <c r="A30" t="s">
        <v>691</v>
      </c>
      <c r="B30" t="s">
        <v>657</v>
      </c>
      <c r="C30" t="s">
        <v>630</v>
      </c>
      <c r="D30">
        <v>0</v>
      </c>
      <c r="E30" t="s">
        <v>631</v>
      </c>
      <c r="F30" t="s">
        <v>630</v>
      </c>
      <c r="G30">
        <v>3086</v>
      </c>
      <c r="H30">
        <v>0</v>
      </c>
      <c r="I30">
        <v>120</v>
      </c>
      <c r="J30">
        <v>360</v>
      </c>
      <c r="K30">
        <v>1</v>
      </c>
      <c r="L30" t="s">
        <v>646</v>
      </c>
      <c r="M30" t="s">
        <v>633</v>
      </c>
    </row>
    <row r="31" spans="1:13" x14ac:dyDescent="0.3">
      <c r="A31" t="s">
        <v>692</v>
      </c>
      <c r="B31" t="s">
        <v>657</v>
      </c>
      <c r="C31" t="s">
        <v>630</v>
      </c>
      <c r="D31">
        <v>0</v>
      </c>
      <c r="E31" t="s">
        <v>631</v>
      </c>
      <c r="F31" t="s">
        <v>630</v>
      </c>
      <c r="G31">
        <v>4230</v>
      </c>
      <c r="H31">
        <v>0</v>
      </c>
      <c r="I31">
        <v>112</v>
      </c>
      <c r="J31">
        <v>360</v>
      </c>
      <c r="K31">
        <v>1</v>
      </c>
      <c r="L31" t="s">
        <v>646</v>
      </c>
      <c r="M31" t="s">
        <v>637</v>
      </c>
    </row>
    <row r="32" spans="1:13" x14ac:dyDescent="0.3">
      <c r="A32" t="s">
        <v>693</v>
      </c>
      <c r="B32" t="s">
        <v>629</v>
      </c>
      <c r="C32" t="s">
        <v>635</v>
      </c>
      <c r="D32">
        <v>2</v>
      </c>
      <c r="E32" t="s">
        <v>631</v>
      </c>
      <c r="F32" t="s">
        <v>630</v>
      </c>
      <c r="G32">
        <v>4616</v>
      </c>
      <c r="H32">
        <v>0</v>
      </c>
      <c r="I32">
        <v>134</v>
      </c>
      <c r="J32">
        <v>360</v>
      </c>
      <c r="K32">
        <v>1</v>
      </c>
      <c r="L32" t="s">
        <v>632</v>
      </c>
      <c r="M32" t="s">
        <v>637</v>
      </c>
    </row>
    <row r="33" spans="1:13" x14ac:dyDescent="0.3">
      <c r="A33" t="s">
        <v>694</v>
      </c>
      <c r="B33" t="s">
        <v>657</v>
      </c>
      <c r="C33" t="s">
        <v>635</v>
      </c>
      <c r="D33">
        <v>1</v>
      </c>
      <c r="E33" t="s">
        <v>631</v>
      </c>
      <c r="F33" t="s">
        <v>635</v>
      </c>
      <c r="G33">
        <v>11500</v>
      </c>
      <c r="H33">
        <v>0</v>
      </c>
      <c r="I33">
        <v>286</v>
      </c>
      <c r="J33">
        <v>360</v>
      </c>
      <c r="K33">
        <v>0</v>
      </c>
      <c r="L33" t="s">
        <v>632</v>
      </c>
      <c r="M33" t="s">
        <v>637</v>
      </c>
    </row>
    <row r="34" spans="1:13" x14ac:dyDescent="0.3">
      <c r="A34" t="s">
        <v>695</v>
      </c>
      <c r="B34" t="s">
        <v>629</v>
      </c>
      <c r="C34" t="s">
        <v>635</v>
      </c>
      <c r="D34">
        <v>2</v>
      </c>
      <c r="E34" t="s">
        <v>631</v>
      </c>
      <c r="F34" t="s">
        <v>630</v>
      </c>
      <c r="G34">
        <v>2708</v>
      </c>
      <c r="H34">
        <v>1167</v>
      </c>
      <c r="I34">
        <v>97</v>
      </c>
      <c r="J34">
        <v>360</v>
      </c>
      <c r="K34">
        <v>1</v>
      </c>
      <c r="L34" t="s">
        <v>646</v>
      </c>
      <c r="M34" t="s">
        <v>633</v>
      </c>
    </row>
    <row r="35" spans="1:13" x14ac:dyDescent="0.3">
      <c r="A35" t="s">
        <v>696</v>
      </c>
      <c r="B35" t="s">
        <v>629</v>
      </c>
      <c r="C35" t="s">
        <v>635</v>
      </c>
      <c r="D35">
        <v>0</v>
      </c>
      <c r="E35" t="s">
        <v>631</v>
      </c>
      <c r="F35" t="s">
        <v>630</v>
      </c>
      <c r="G35">
        <v>2132</v>
      </c>
      <c r="H35">
        <v>1591</v>
      </c>
      <c r="I35">
        <v>96</v>
      </c>
      <c r="J35">
        <v>360</v>
      </c>
      <c r="K35">
        <v>1</v>
      </c>
      <c r="L35" t="s">
        <v>646</v>
      </c>
      <c r="M35" t="s">
        <v>633</v>
      </c>
    </row>
    <row r="36" spans="1:13" x14ac:dyDescent="0.3">
      <c r="A36" t="s">
        <v>697</v>
      </c>
      <c r="B36" t="s">
        <v>629</v>
      </c>
      <c r="C36" t="s">
        <v>635</v>
      </c>
      <c r="D36">
        <v>0</v>
      </c>
      <c r="E36" t="s">
        <v>631</v>
      </c>
      <c r="F36" t="s">
        <v>630</v>
      </c>
      <c r="G36">
        <v>3366</v>
      </c>
      <c r="H36">
        <v>2200</v>
      </c>
      <c r="I36">
        <v>135</v>
      </c>
      <c r="J36">
        <v>360</v>
      </c>
      <c r="K36">
        <v>1</v>
      </c>
      <c r="L36" t="s">
        <v>636</v>
      </c>
      <c r="M36" t="s">
        <v>637</v>
      </c>
    </row>
    <row r="37" spans="1:13" x14ac:dyDescent="0.3">
      <c r="A37" t="s">
        <v>698</v>
      </c>
      <c r="B37" t="s">
        <v>629</v>
      </c>
      <c r="C37" t="s">
        <v>635</v>
      </c>
      <c r="D37">
        <v>1</v>
      </c>
      <c r="E37" t="s">
        <v>631</v>
      </c>
      <c r="F37" t="s">
        <v>630</v>
      </c>
      <c r="G37">
        <v>8080</v>
      </c>
      <c r="H37">
        <v>2250</v>
      </c>
      <c r="I37">
        <v>180</v>
      </c>
      <c r="J37">
        <v>360</v>
      </c>
      <c r="K37">
        <v>1</v>
      </c>
      <c r="L37" t="s">
        <v>632</v>
      </c>
      <c r="M37" t="s">
        <v>633</v>
      </c>
    </row>
    <row r="38" spans="1:13" x14ac:dyDescent="0.3">
      <c r="A38" t="s">
        <v>699</v>
      </c>
      <c r="B38" t="s">
        <v>629</v>
      </c>
      <c r="C38" t="s">
        <v>635</v>
      </c>
      <c r="D38">
        <v>2</v>
      </c>
      <c r="E38" t="s">
        <v>640</v>
      </c>
      <c r="F38" t="s">
        <v>630</v>
      </c>
      <c r="G38">
        <v>3357</v>
      </c>
      <c r="H38">
        <v>2859</v>
      </c>
      <c r="I38">
        <v>144</v>
      </c>
      <c r="J38">
        <v>360</v>
      </c>
      <c r="K38">
        <v>1</v>
      </c>
      <c r="L38" t="s">
        <v>632</v>
      </c>
      <c r="M38" t="s">
        <v>633</v>
      </c>
    </row>
    <row r="39" spans="1:13" x14ac:dyDescent="0.3">
      <c r="A39" t="s">
        <v>700</v>
      </c>
      <c r="B39" t="s">
        <v>629</v>
      </c>
      <c r="C39" t="s">
        <v>635</v>
      </c>
      <c r="D39">
        <v>0</v>
      </c>
      <c r="E39" t="s">
        <v>631</v>
      </c>
      <c r="F39" t="s">
        <v>630</v>
      </c>
      <c r="G39">
        <v>2500</v>
      </c>
      <c r="H39">
        <v>3796</v>
      </c>
      <c r="I39">
        <v>120</v>
      </c>
      <c r="J39">
        <v>360</v>
      </c>
      <c r="K39">
        <v>1</v>
      </c>
      <c r="L39" t="s">
        <v>632</v>
      </c>
      <c r="M39" t="s">
        <v>633</v>
      </c>
    </row>
    <row r="40" spans="1:13" x14ac:dyDescent="0.3">
      <c r="A40" t="s">
        <v>701</v>
      </c>
      <c r="B40" t="s">
        <v>629</v>
      </c>
      <c r="C40" t="s">
        <v>635</v>
      </c>
      <c r="D40" t="s">
        <v>645</v>
      </c>
      <c r="E40" t="s">
        <v>631</v>
      </c>
      <c r="F40" t="s">
        <v>630</v>
      </c>
      <c r="G40">
        <v>3029</v>
      </c>
      <c r="H40">
        <v>0</v>
      </c>
      <c r="I40">
        <v>99</v>
      </c>
      <c r="J40">
        <v>360</v>
      </c>
      <c r="K40">
        <v>1</v>
      </c>
      <c r="L40" t="s">
        <v>632</v>
      </c>
      <c r="M40" t="s">
        <v>633</v>
      </c>
    </row>
    <row r="41" spans="1:13" x14ac:dyDescent="0.3">
      <c r="A41" t="s">
        <v>702</v>
      </c>
      <c r="B41" t="s">
        <v>629</v>
      </c>
      <c r="C41" t="s">
        <v>635</v>
      </c>
      <c r="D41">
        <v>0</v>
      </c>
      <c r="E41" t="s">
        <v>640</v>
      </c>
      <c r="F41" t="s">
        <v>635</v>
      </c>
      <c r="G41">
        <v>2609</v>
      </c>
      <c r="H41">
        <v>3449</v>
      </c>
      <c r="I41">
        <v>165</v>
      </c>
      <c r="J41">
        <v>180</v>
      </c>
      <c r="K41">
        <v>0</v>
      </c>
      <c r="L41" t="s">
        <v>636</v>
      </c>
      <c r="M41" t="s">
        <v>637</v>
      </c>
    </row>
    <row r="42" spans="1:13" x14ac:dyDescent="0.3">
      <c r="A42" t="s">
        <v>704</v>
      </c>
      <c r="B42" t="s">
        <v>657</v>
      </c>
      <c r="C42" t="s">
        <v>630</v>
      </c>
      <c r="D42">
        <v>0</v>
      </c>
      <c r="E42" t="s">
        <v>631</v>
      </c>
      <c r="F42" t="s">
        <v>630</v>
      </c>
      <c r="G42">
        <v>4166</v>
      </c>
      <c r="H42">
        <v>0</v>
      </c>
      <c r="I42">
        <v>116</v>
      </c>
      <c r="J42">
        <v>360</v>
      </c>
      <c r="K42">
        <v>0</v>
      </c>
      <c r="L42" t="s">
        <v>646</v>
      </c>
      <c r="M42" t="s">
        <v>637</v>
      </c>
    </row>
    <row r="43" spans="1:13" x14ac:dyDescent="0.3">
      <c r="A43" t="s">
        <v>705</v>
      </c>
      <c r="B43" t="s">
        <v>629</v>
      </c>
      <c r="C43" t="s">
        <v>635</v>
      </c>
      <c r="D43">
        <v>0</v>
      </c>
      <c r="E43" t="s">
        <v>631</v>
      </c>
      <c r="F43" t="s">
        <v>630</v>
      </c>
      <c r="G43">
        <v>5726</v>
      </c>
      <c r="H43">
        <v>4595</v>
      </c>
      <c r="I43">
        <v>258</v>
      </c>
      <c r="J43">
        <v>360</v>
      </c>
      <c r="K43">
        <v>1</v>
      </c>
      <c r="L43" t="s">
        <v>646</v>
      </c>
      <c r="M43" t="s">
        <v>637</v>
      </c>
    </row>
    <row r="44" spans="1:13" x14ac:dyDescent="0.3">
      <c r="A44" t="s">
        <v>706</v>
      </c>
      <c r="B44" t="s">
        <v>629</v>
      </c>
      <c r="C44" t="s">
        <v>630</v>
      </c>
      <c r="D44">
        <v>0</v>
      </c>
      <c r="E44" t="s">
        <v>640</v>
      </c>
      <c r="F44" t="s">
        <v>630</v>
      </c>
      <c r="G44">
        <v>3200</v>
      </c>
      <c r="H44">
        <v>2254</v>
      </c>
      <c r="I44">
        <v>126</v>
      </c>
      <c r="J44">
        <v>180</v>
      </c>
      <c r="K44">
        <v>0</v>
      </c>
      <c r="L44" t="s">
        <v>632</v>
      </c>
      <c r="M44" t="s">
        <v>637</v>
      </c>
    </row>
    <row r="45" spans="1:13" x14ac:dyDescent="0.3">
      <c r="A45" t="s">
        <v>707</v>
      </c>
      <c r="B45" t="s">
        <v>629</v>
      </c>
      <c r="C45" t="s">
        <v>635</v>
      </c>
      <c r="D45">
        <v>1</v>
      </c>
      <c r="E45" t="s">
        <v>631</v>
      </c>
      <c r="F45" t="s">
        <v>630</v>
      </c>
      <c r="G45">
        <v>10750</v>
      </c>
      <c r="H45">
        <v>0</v>
      </c>
      <c r="I45">
        <v>312</v>
      </c>
      <c r="J45">
        <v>360</v>
      </c>
      <c r="K45">
        <v>1</v>
      </c>
      <c r="L45" t="s">
        <v>632</v>
      </c>
      <c r="M45" t="s">
        <v>633</v>
      </c>
    </row>
    <row r="46" spans="1:13" x14ac:dyDescent="0.3">
      <c r="A46" t="s">
        <v>708</v>
      </c>
      <c r="B46" t="s">
        <v>629</v>
      </c>
      <c r="C46" t="s">
        <v>635</v>
      </c>
      <c r="D46" t="s">
        <v>645</v>
      </c>
      <c r="E46" t="s">
        <v>640</v>
      </c>
      <c r="F46" t="s">
        <v>635</v>
      </c>
      <c r="G46">
        <v>7100</v>
      </c>
      <c r="H46">
        <v>0</v>
      </c>
      <c r="I46">
        <v>125</v>
      </c>
      <c r="J46">
        <v>60</v>
      </c>
      <c r="K46">
        <v>1</v>
      </c>
      <c r="L46" t="s">
        <v>632</v>
      </c>
      <c r="M46" t="s">
        <v>633</v>
      </c>
    </row>
    <row r="47" spans="1:13" x14ac:dyDescent="0.3">
      <c r="A47" t="s">
        <v>709</v>
      </c>
      <c r="B47" t="s">
        <v>657</v>
      </c>
      <c r="C47" t="s">
        <v>630</v>
      </c>
      <c r="D47">
        <v>0</v>
      </c>
      <c r="E47" t="s">
        <v>631</v>
      </c>
      <c r="F47" t="s">
        <v>630</v>
      </c>
      <c r="G47">
        <v>4300</v>
      </c>
      <c r="H47">
        <v>0</v>
      </c>
      <c r="I47">
        <v>136</v>
      </c>
      <c r="J47">
        <v>360</v>
      </c>
      <c r="K47">
        <v>0</v>
      </c>
      <c r="L47" t="s">
        <v>646</v>
      </c>
      <c r="M47" t="s">
        <v>637</v>
      </c>
    </row>
    <row r="48" spans="1:13" x14ac:dyDescent="0.3">
      <c r="A48" t="s">
        <v>710</v>
      </c>
      <c r="B48" t="s">
        <v>629</v>
      </c>
      <c r="C48" t="s">
        <v>635</v>
      </c>
      <c r="D48">
        <v>0</v>
      </c>
      <c r="E48" t="s">
        <v>631</v>
      </c>
      <c r="F48" t="s">
        <v>630</v>
      </c>
      <c r="G48">
        <v>3208</v>
      </c>
      <c r="H48">
        <v>3066</v>
      </c>
      <c r="I48">
        <v>172</v>
      </c>
      <c r="J48">
        <v>360</v>
      </c>
      <c r="K48">
        <v>1</v>
      </c>
      <c r="L48" t="s">
        <v>632</v>
      </c>
      <c r="M48" t="s">
        <v>633</v>
      </c>
    </row>
    <row r="49" spans="1:13" x14ac:dyDescent="0.3">
      <c r="A49" t="s">
        <v>711</v>
      </c>
      <c r="B49" t="s">
        <v>629</v>
      </c>
      <c r="C49" t="s">
        <v>635</v>
      </c>
      <c r="D49">
        <v>2</v>
      </c>
      <c r="E49" t="s">
        <v>640</v>
      </c>
      <c r="F49" t="s">
        <v>635</v>
      </c>
      <c r="G49">
        <v>1875</v>
      </c>
      <c r="H49">
        <v>1875</v>
      </c>
      <c r="I49">
        <v>97</v>
      </c>
      <c r="J49">
        <v>360</v>
      </c>
      <c r="K49">
        <v>1</v>
      </c>
      <c r="L49" t="s">
        <v>646</v>
      </c>
      <c r="M49" t="s">
        <v>633</v>
      </c>
    </row>
    <row r="50" spans="1:13" x14ac:dyDescent="0.3">
      <c r="A50" t="s">
        <v>712</v>
      </c>
      <c r="B50" t="s">
        <v>629</v>
      </c>
      <c r="C50" t="s">
        <v>630</v>
      </c>
      <c r="D50">
        <v>0</v>
      </c>
      <c r="E50" t="s">
        <v>631</v>
      </c>
      <c r="F50" t="s">
        <v>630</v>
      </c>
      <c r="G50">
        <v>3500</v>
      </c>
      <c r="H50">
        <v>0</v>
      </c>
      <c r="I50">
        <v>81</v>
      </c>
      <c r="J50">
        <v>300</v>
      </c>
      <c r="K50">
        <v>1</v>
      </c>
      <c r="L50" t="s">
        <v>646</v>
      </c>
      <c r="M50" t="s">
        <v>633</v>
      </c>
    </row>
    <row r="51" spans="1:13" x14ac:dyDescent="0.3">
      <c r="A51" t="s">
        <v>714</v>
      </c>
      <c r="B51" t="s">
        <v>629</v>
      </c>
      <c r="C51" t="s">
        <v>635</v>
      </c>
      <c r="D51" t="s">
        <v>645</v>
      </c>
      <c r="E51" t="s">
        <v>631</v>
      </c>
      <c r="F51" t="s">
        <v>635</v>
      </c>
      <c r="G51">
        <v>5266</v>
      </c>
      <c r="H51">
        <v>1774</v>
      </c>
      <c r="I51">
        <v>187</v>
      </c>
      <c r="J51">
        <v>360</v>
      </c>
      <c r="K51">
        <v>1</v>
      </c>
      <c r="L51" t="s">
        <v>646</v>
      </c>
      <c r="M51" t="s">
        <v>633</v>
      </c>
    </row>
    <row r="52" spans="1:13" x14ac:dyDescent="0.3">
      <c r="A52" t="s">
        <v>715</v>
      </c>
      <c r="B52" t="s">
        <v>629</v>
      </c>
      <c r="C52" t="s">
        <v>630</v>
      </c>
      <c r="D52">
        <v>0</v>
      </c>
      <c r="E52" t="s">
        <v>631</v>
      </c>
      <c r="F52" t="s">
        <v>630</v>
      </c>
      <c r="G52">
        <v>3750</v>
      </c>
      <c r="H52">
        <v>0</v>
      </c>
      <c r="I52">
        <v>113</v>
      </c>
      <c r="J52">
        <v>480</v>
      </c>
      <c r="K52">
        <v>1</v>
      </c>
      <c r="L52" t="s">
        <v>632</v>
      </c>
      <c r="M52" t="s">
        <v>637</v>
      </c>
    </row>
    <row r="53" spans="1:13" x14ac:dyDescent="0.3">
      <c r="A53" t="s">
        <v>716</v>
      </c>
      <c r="B53" t="s">
        <v>629</v>
      </c>
      <c r="C53" t="s">
        <v>630</v>
      </c>
      <c r="D53">
        <v>0</v>
      </c>
      <c r="E53" t="s">
        <v>631</v>
      </c>
      <c r="F53" t="s">
        <v>630</v>
      </c>
      <c r="G53">
        <v>3750</v>
      </c>
      <c r="H53">
        <v>4750</v>
      </c>
      <c r="I53">
        <v>176</v>
      </c>
      <c r="J53">
        <v>360</v>
      </c>
      <c r="K53">
        <v>1</v>
      </c>
      <c r="L53" t="s">
        <v>632</v>
      </c>
      <c r="M53" t="s">
        <v>637</v>
      </c>
    </row>
    <row r="54" spans="1:13" x14ac:dyDescent="0.3">
      <c r="A54" t="s">
        <v>717</v>
      </c>
      <c r="B54" t="s">
        <v>629</v>
      </c>
      <c r="C54" t="s">
        <v>635</v>
      </c>
      <c r="D54">
        <v>1</v>
      </c>
      <c r="E54" t="s">
        <v>631</v>
      </c>
      <c r="F54" t="s">
        <v>635</v>
      </c>
      <c r="G54">
        <v>1000</v>
      </c>
      <c r="H54">
        <v>3022</v>
      </c>
      <c r="I54">
        <v>110</v>
      </c>
      <c r="J54">
        <v>360</v>
      </c>
      <c r="K54">
        <v>1</v>
      </c>
      <c r="L54" t="s">
        <v>632</v>
      </c>
      <c r="M54" t="s">
        <v>637</v>
      </c>
    </row>
    <row r="55" spans="1:13" x14ac:dyDescent="0.3">
      <c r="A55" t="s">
        <v>718</v>
      </c>
      <c r="B55" t="s">
        <v>629</v>
      </c>
      <c r="C55" t="s">
        <v>635</v>
      </c>
      <c r="D55" t="s">
        <v>645</v>
      </c>
      <c r="E55" t="s">
        <v>631</v>
      </c>
      <c r="F55" t="s">
        <v>630</v>
      </c>
      <c r="G55">
        <v>3167</v>
      </c>
      <c r="H55">
        <v>4000</v>
      </c>
      <c r="I55">
        <v>180</v>
      </c>
      <c r="J55">
        <v>300</v>
      </c>
      <c r="K55">
        <v>0</v>
      </c>
      <c r="L55" t="s">
        <v>646</v>
      </c>
      <c r="M55" t="s">
        <v>637</v>
      </c>
    </row>
    <row r="56" spans="1:13" x14ac:dyDescent="0.3">
      <c r="A56" t="s">
        <v>720</v>
      </c>
      <c r="B56" t="s">
        <v>657</v>
      </c>
      <c r="C56" t="s">
        <v>630</v>
      </c>
      <c r="D56">
        <v>0</v>
      </c>
      <c r="E56" t="s">
        <v>631</v>
      </c>
      <c r="F56" t="s">
        <v>630</v>
      </c>
      <c r="G56">
        <v>3846</v>
      </c>
      <c r="H56">
        <v>0</v>
      </c>
      <c r="I56">
        <v>111</v>
      </c>
      <c r="J56">
        <v>360</v>
      </c>
      <c r="K56">
        <v>1</v>
      </c>
      <c r="L56" t="s">
        <v>646</v>
      </c>
      <c r="M56" t="s">
        <v>633</v>
      </c>
    </row>
    <row r="57" spans="1:13" x14ac:dyDescent="0.3">
      <c r="A57" t="s">
        <v>722</v>
      </c>
      <c r="B57" t="s">
        <v>657</v>
      </c>
      <c r="C57" t="s">
        <v>635</v>
      </c>
      <c r="D57">
        <v>2</v>
      </c>
      <c r="E57" t="s">
        <v>631</v>
      </c>
      <c r="F57" t="s">
        <v>630</v>
      </c>
      <c r="G57">
        <v>1378</v>
      </c>
      <c r="H57">
        <v>1881</v>
      </c>
      <c r="I57">
        <v>167</v>
      </c>
      <c r="J57">
        <v>360</v>
      </c>
      <c r="K57">
        <v>1</v>
      </c>
      <c r="L57" t="s">
        <v>632</v>
      </c>
      <c r="M57" t="s">
        <v>637</v>
      </c>
    </row>
    <row r="58" spans="1:13" x14ac:dyDescent="0.3">
      <c r="A58" t="s">
        <v>724</v>
      </c>
      <c r="B58" t="s">
        <v>629</v>
      </c>
      <c r="C58" t="s">
        <v>635</v>
      </c>
      <c r="D58">
        <v>1</v>
      </c>
      <c r="E58" t="s">
        <v>631</v>
      </c>
      <c r="F58" t="s">
        <v>630</v>
      </c>
      <c r="G58">
        <v>3988</v>
      </c>
      <c r="H58">
        <v>0</v>
      </c>
      <c r="I58">
        <v>50</v>
      </c>
      <c r="J58">
        <v>240</v>
      </c>
      <c r="K58">
        <v>1</v>
      </c>
      <c r="L58" t="s">
        <v>632</v>
      </c>
      <c r="M58" t="s">
        <v>633</v>
      </c>
    </row>
    <row r="59" spans="1:13" x14ac:dyDescent="0.3">
      <c r="A59" t="s">
        <v>725</v>
      </c>
      <c r="B59" t="s">
        <v>629</v>
      </c>
      <c r="C59" t="s">
        <v>630</v>
      </c>
      <c r="D59">
        <v>0</v>
      </c>
      <c r="E59" t="s">
        <v>631</v>
      </c>
      <c r="F59" t="s">
        <v>630</v>
      </c>
      <c r="G59">
        <v>2366</v>
      </c>
      <c r="H59">
        <v>2531</v>
      </c>
      <c r="I59">
        <v>136</v>
      </c>
      <c r="J59">
        <v>360</v>
      </c>
      <c r="K59">
        <v>1</v>
      </c>
      <c r="L59" t="s">
        <v>646</v>
      </c>
      <c r="M59" t="s">
        <v>633</v>
      </c>
    </row>
    <row r="60" spans="1:13" x14ac:dyDescent="0.3">
      <c r="A60" t="s">
        <v>727</v>
      </c>
      <c r="B60" t="s">
        <v>629</v>
      </c>
      <c r="C60" t="s">
        <v>635</v>
      </c>
      <c r="D60">
        <v>0</v>
      </c>
      <c r="E60" t="s">
        <v>631</v>
      </c>
      <c r="F60" t="s">
        <v>630</v>
      </c>
      <c r="G60">
        <v>2500</v>
      </c>
      <c r="H60">
        <v>2118</v>
      </c>
      <c r="I60">
        <v>104</v>
      </c>
      <c r="J60">
        <v>360</v>
      </c>
      <c r="K60">
        <v>1</v>
      </c>
      <c r="L60" t="s">
        <v>646</v>
      </c>
      <c r="M60" t="s">
        <v>633</v>
      </c>
    </row>
    <row r="61" spans="1:13" x14ac:dyDescent="0.3">
      <c r="A61" t="s">
        <v>728</v>
      </c>
      <c r="B61" t="s">
        <v>629</v>
      </c>
      <c r="C61" t="s">
        <v>630</v>
      </c>
      <c r="D61">
        <v>0</v>
      </c>
      <c r="E61" t="s">
        <v>631</v>
      </c>
      <c r="F61" t="s">
        <v>630</v>
      </c>
      <c r="G61">
        <v>8566</v>
      </c>
      <c r="H61">
        <v>0</v>
      </c>
      <c r="I61">
        <v>210</v>
      </c>
      <c r="J61">
        <v>360</v>
      </c>
      <c r="K61">
        <v>1</v>
      </c>
      <c r="L61" t="s">
        <v>632</v>
      </c>
      <c r="M61" t="s">
        <v>633</v>
      </c>
    </row>
    <row r="62" spans="1:13" x14ac:dyDescent="0.3">
      <c r="A62" t="s">
        <v>729</v>
      </c>
      <c r="B62" t="s">
        <v>629</v>
      </c>
      <c r="C62" t="s">
        <v>635</v>
      </c>
      <c r="D62">
        <v>0</v>
      </c>
      <c r="E62" t="s">
        <v>631</v>
      </c>
      <c r="F62" t="s">
        <v>630</v>
      </c>
      <c r="G62">
        <v>5695</v>
      </c>
      <c r="H62">
        <v>4167</v>
      </c>
      <c r="I62">
        <v>175</v>
      </c>
      <c r="J62">
        <v>360</v>
      </c>
      <c r="K62">
        <v>1</v>
      </c>
      <c r="L62" t="s">
        <v>646</v>
      </c>
      <c r="M62" t="s">
        <v>633</v>
      </c>
    </row>
    <row r="63" spans="1:13" x14ac:dyDescent="0.3">
      <c r="A63" t="s">
        <v>730</v>
      </c>
      <c r="B63" t="s">
        <v>629</v>
      </c>
      <c r="C63" t="s">
        <v>635</v>
      </c>
      <c r="D63">
        <v>0</v>
      </c>
      <c r="E63" t="s">
        <v>631</v>
      </c>
      <c r="F63" t="s">
        <v>630</v>
      </c>
      <c r="G63">
        <v>2958</v>
      </c>
      <c r="H63">
        <v>2900</v>
      </c>
      <c r="I63">
        <v>131</v>
      </c>
      <c r="J63">
        <v>360</v>
      </c>
      <c r="K63">
        <v>1</v>
      </c>
      <c r="L63" t="s">
        <v>646</v>
      </c>
      <c r="M63" t="s">
        <v>633</v>
      </c>
    </row>
    <row r="64" spans="1:13" x14ac:dyDescent="0.3">
      <c r="A64" t="s">
        <v>731</v>
      </c>
      <c r="B64" t="s">
        <v>629</v>
      </c>
      <c r="C64" t="s">
        <v>635</v>
      </c>
      <c r="D64">
        <v>2</v>
      </c>
      <c r="E64" t="s">
        <v>631</v>
      </c>
      <c r="F64" t="s">
        <v>630</v>
      </c>
      <c r="G64">
        <v>6250</v>
      </c>
      <c r="H64">
        <v>5654</v>
      </c>
      <c r="I64">
        <v>188</v>
      </c>
      <c r="J64">
        <v>180</v>
      </c>
      <c r="K64">
        <v>1</v>
      </c>
      <c r="L64" t="s">
        <v>646</v>
      </c>
      <c r="M64" t="s">
        <v>633</v>
      </c>
    </row>
    <row r="65" spans="1:13" x14ac:dyDescent="0.3">
      <c r="A65" t="s">
        <v>732</v>
      </c>
      <c r="B65" t="s">
        <v>629</v>
      </c>
      <c r="C65" t="s">
        <v>635</v>
      </c>
      <c r="D65">
        <v>2</v>
      </c>
      <c r="E65" t="s">
        <v>640</v>
      </c>
      <c r="F65" t="s">
        <v>630</v>
      </c>
      <c r="G65">
        <v>3273</v>
      </c>
      <c r="H65">
        <v>1820</v>
      </c>
      <c r="I65">
        <v>81</v>
      </c>
      <c r="J65">
        <v>360</v>
      </c>
      <c r="K65">
        <v>1</v>
      </c>
      <c r="L65" t="s">
        <v>632</v>
      </c>
      <c r="M65" t="s">
        <v>633</v>
      </c>
    </row>
    <row r="66" spans="1:13" x14ac:dyDescent="0.3">
      <c r="A66" t="s">
        <v>733</v>
      </c>
      <c r="B66" t="s">
        <v>629</v>
      </c>
      <c r="C66" t="s">
        <v>630</v>
      </c>
      <c r="D66">
        <v>0</v>
      </c>
      <c r="E66" t="s">
        <v>631</v>
      </c>
      <c r="F66" t="s">
        <v>630</v>
      </c>
      <c r="G66">
        <v>4133</v>
      </c>
      <c r="H66">
        <v>0</v>
      </c>
      <c r="I66">
        <v>122</v>
      </c>
      <c r="J66">
        <v>360</v>
      </c>
      <c r="K66">
        <v>1</v>
      </c>
      <c r="L66" t="s">
        <v>646</v>
      </c>
      <c r="M66" t="s">
        <v>633</v>
      </c>
    </row>
    <row r="67" spans="1:13" x14ac:dyDescent="0.3">
      <c r="A67" t="s">
        <v>734</v>
      </c>
      <c r="B67" t="s">
        <v>629</v>
      </c>
      <c r="C67" t="s">
        <v>630</v>
      </c>
      <c r="D67">
        <v>0</v>
      </c>
      <c r="E67" t="s">
        <v>640</v>
      </c>
      <c r="F67" t="s">
        <v>630</v>
      </c>
      <c r="G67">
        <v>3620</v>
      </c>
      <c r="H67">
        <v>0</v>
      </c>
      <c r="I67">
        <v>25</v>
      </c>
      <c r="J67">
        <v>120</v>
      </c>
      <c r="K67">
        <v>1</v>
      </c>
      <c r="L67" t="s">
        <v>646</v>
      </c>
      <c r="M67" t="s">
        <v>633</v>
      </c>
    </row>
    <row r="68" spans="1:13" x14ac:dyDescent="0.3">
      <c r="A68" t="s">
        <v>736</v>
      </c>
      <c r="B68" t="s">
        <v>657</v>
      </c>
      <c r="C68" t="s">
        <v>635</v>
      </c>
      <c r="D68">
        <v>0</v>
      </c>
      <c r="E68" t="s">
        <v>631</v>
      </c>
      <c r="F68" t="s">
        <v>630</v>
      </c>
      <c r="G68">
        <v>2484</v>
      </c>
      <c r="H68">
        <v>2302</v>
      </c>
      <c r="I68">
        <v>137</v>
      </c>
      <c r="J68">
        <v>360</v>
      </c>
      <c r="K68">
        <v>1</v>
      </c>
      <c r="L68" t="s">
        <v>646</v>
      </c>
      <c r="M68" t="s">
        <v>633</v>
      </c>
    </row>
    <row r="69" spans="1:13" x14ac:dyDescent="0.3">
      <c r="A69" t="s">
        <v>737</v>
      </c>
      <c r="B69" t="s">
        <v>629</v>
      </c>
      <c r="C69" t="s">
        <v>635</v>
      </c>
      <c r="D69">
        <v>0</v>
      </c>
      <c r="E69" t="s">
        <v>631</v>
      </c>
      <c r="F69" t="s">
        <v>630</v>
      </c>
      <c r="G69">
        <v>1977</v>
      </c>
      <c r="H69">
        <v>997</v>
      </c>
      <c r="I69">
        <v>50</v>
      </c>
      <c r="J69">
        <v>360</v>
      </c>
      <c r="K69">
        <v>1</v>
      </c>
      <c r="L69" t="s">
        <v>646</v>
      </c>
      <c r="M69" t="s">
        <v>633</v>
      </c>
    </row>
    <row r="70" spans="1:13" x14ac:dyDescent="0.3">
      <c r="A70" t="s">
        <v>738</v>
      </c>
      <c r="B70" t="s">
        <v>629</v>
      </c>
      <c r="C70" t="s">
        <v>635</v>
      </c>
      <c r="D70">
        <v>0</v>
      </c>
      <c r="E70" t="s">
        <v>640</v>
      </c>
      <c r="F70" t="s">
        <v>630</v>
      </c>
      <c r="G70">
        <v>4188</v>
      </c>
      <c r="H70">
        <v>0</v>
      </c>
      <c r="I70">
        <v>115</v>
      </c>
      <c r="J70">
        <v>180</v>
      </c>
      <c r="K70">
        <v>1</v>
      </c>
      <c r="L70" t="s">
        <v>646</v>
      </c>
      <c r="M70" t="s">
        <v>633</v>
      </c>
    </row>
    <row r="71" spans="1:13" x14ac:dyDescent="0.3">
      <c r="A71" t="s">
        <v>739</v>
      </c>
      <c r="B71" t="s">
        <v>629</v>
      </c>
      <c r="C71" t="s">
        <v>635</v>
      </c>
      <c r="D71">
        <v>0</v>
      </c>
      <c r="E71" t="s">
        <v>631</v>
      </c>
      <c r="F71" t="s">
        <v>630</v>
      </c>
      <c r="G71">
        <v>1759</v>
      </c>
      <c r="H71">
        <v>3541</v>
      </c>
      <c r="I71">
        <v>131</v>
      </c>
      <c r="J71">
        <v>360</v>
      </c>
      <c r="K71">
        <v>1</v>
      </c>
      <c r="L71" t="s">
        <v>646</v>
      </c>
      <c r="M71" t="s">
        <v>633</v>
      </c>
    </row>
    <row r="72" spans="1:13" x14ac:dyDescent="0.3">
      <c r="A72" t="s">
        <v>740</v>
      </c>
      <c r="B72" t="s">
        <v>629</v>
      </c>
      <c r="C72" t="s">
        <v>635</v>
      </c>
      <c r="D72">
        <v>2</v>
      </c>
      <c r="E72" t="s">
        <v>640</v>
      </c>
      <c r="F72" t="s">
        <v>630</v>
      </c>
      <c r="G72">
        <v>4288</v>
      </c>
      <c r="H72">
        <v>3263</v>
      </c>
      <c r="I72">
        <v>133</v>
      </c>
      <c r="J72">
        <v>180</v>
      </c>
      <c r="K72">
        <v>1</v>
      </c>
      <c r="L72" t="s">
        <v>632</v>
      </c>
      <c r="M72" t="s">
        <v>633</v>
      </c>
    </row>
    <row r="73" spans="1:13" x14ac:dyDescent="0.3">
      <c r="A73" t="s">
        <v>741</v>
      </c>
      <c r="B73" t="s">
        <v>629</v>
      </c>
      <c r="C73" t="s">
        <v>630</v>
      </c>
      <c r="D73">
        <v>0</v>
      </c>
      <c r="E73" t="s">
        <v>631</v>
      </c>
      <c r="F73" t="s">
        <v>630</v>
      </c>
      <c r="G73">
        <v>4843</v>
      </c>
      <c r="H73">
        <v>3806</v>
      </c>
      <c r="I73">
        <v>151</v>
      </c>
      <c r="J73">
        <v>360</v>
      </c>
      <c r="K73">
        <v>1</v>
      </c>
      <c r="L73" t="s">
        <v>646</v>
      </c>
      <c r="M73" t="s">
        <v>633</v>
      </c>
    </row>
    <row r="74" spans="1:13" x14ac:dyDescent="0.3">
      <c r="A74" t="s">
        <v>745</v>
      </c>
      <c r="B74" t="s">
        <v>629</v>
      </c>
      <c r="C74" t="s">
        <v>635</v>
      </c>
      <c r="D74">
        <v>1</v>
      </c>
      <c r="E74" t="s">
        <v>631</v>
      </c>
      <c r="F74" t="s">
        <v>630</v>
      </c>
      <c r="G74">
        <v>3052</v>
      </c>
      <c r="H74">
        <v>1030</v>
      </c>
      <c r="I74">
        <v>100</v>
      </c>
      <c r="J74">
        <v>360</v>
      </c>
      <c r="K74">
        <v>1</v>
      </c>
      <c r="L74" t="s">
        <v>632</v>
      </c>
      <c r="M74" t="s">
        <v>633</v>
      </c>
    </row>
    <row r="75" spans="1:13" x14ac:dyDescent="0.3">
      <c r="A75" t="s">
        <v>746</v>
      </c>
      <c r="B75" t="s">
        <v>629</v>
      </c>
      <c r="C75" t="s">
        <v>635</v>
      </c>
      <c r="D75">
        <v>2</v>
      </c>
      <c r="E75" t="s">
        <v>631</v>
      </c>
      <c r="F75" t="s">
        <v>630</v>
      </c>
      <c r="G75">
        <v>11417</v>
      </c>
      <c r="H75">
        <v>1126</v>
      </c>
      <c r="I75">
        <v>225</v>
      </c>
      <c r="J75">
        <v>360</v>
      </c>
      <c r="K75">
        <v>1</v>
      </c>
      <c r="L75" t="s">
        <v>632</v>
      </c>
      <c r="M75" t="s">
        <v>633</v>
      </c>
    </row>
    <row r="76" spans="1:13" x14ac:dyDescent="0.3">
      <c r="A76" t="s">
        <v>748</v>
      </c>
      <c r="B76" t="s">
        <v>629</v>
      </c>
      <c r="C76" t="s">
        <v>635</v>
      </c>
      <c r="D76">
        <v>2</v>
      </c>
      <c r="E76" t="s">
        <v>631</v>
      </c>
      <c r="F76" t="s">
        <v>630</v>
      </c>
      <c r="G76">
        <v>3800</v>
      </c>
      <c r="H76">
        <v>3600</v>
      </c>
      <c r="I76">
        <v>216</v>
      </c>
      <c r="J76">
        <v>360</v>
      </c>
      <c r="K76">
        <v>0</v>
      </c>
      <c r="L76" t="s">
        <v>632</v>
      </c>
      <c r="M76" t="s">
        <v>637</v>
      </c>
    </row>
    <row r="77" spans="1:13" x14ac:dyDescent="0.3">
      <c r="A77" t="s">
        <v>749</v>
      </c>
      <c r="B77" t="s">
        <v>629</v>
      </c>
      <c r="C77" t="s">
        <v>635</v>
      </c>
      <c r="D77" t="s">
        <v>645</v>
      </c>
      <c r="E77" t="s">
        <v>640</v>
      </c>
      <c r="F77" t="s">
        <v>630</v>
      </c>
      <c r="G77">
        <v>2071</v>
      </c>
      <c r="H77">
        <v>754</v>
      </c>
      <c r="I77">
        <v>94</v>
      </c>
      <c r="J77">
        <v>480</v>
      </c>
      <c r="K77">
        <v>1</v>
      </c>
      <c r="L77" t="s">
        <v>646</v>
      </c>
      <c r="M77" t="s">
        <v>633</v>
      </c>
    </row>
    <row r="78" spans="1:13" x14ac:dyDescent="0.3">
      <c r="A78" t="s">
        <v>750</v>
      </c>
      <c r="B78" t="s">
        <v>629</v>
      </c>
      <c r="C78" t="s">
        <v>630</v>
      </c>
      <c r="D78">
        <v>0</v>
      </c>
      <c r="E78" t="s">
        <v>631</v>
      </c>
      <c r="F78" t="s">
        <v>630</v>
      </c>
      <c r="G78">
        <v>5316</v>
      </c>
      <c r="H78">
        <v>0</v>
      </c>
      <c r="I78">
        <v>136</v>
      </c>
      <c r="J78">
        <v>360</v>
      </c>
      <c r="K78">
        <v>1</v>
      </c>
      <c r="L78" t="s">
        <v>632</v>
      </c>
      <c r="M78" t="s">
        <v>633</v>
      </c>
    </row>
    <row r="79" spans="1:13" x14ac:dyDescent="0.3">
      <c r="A79" t="s">
        <v>755</v>
      </c>
      <c r="B79" t="s">
        <v>629</v>
      </c>
      <c r="C79" t="s">
        <v>635</v>
      </c>
      <c r="D79">
        <v>1</v>
      </c>
      <c r="E79" t="s">
        <v>631</v>
      </c>
      <c r="F79" t="s">
        <v>630</v>
      </c>
      <c r="G79">
        <v>14583</v>
      </c>
      <c r="H79">
        <v>0</v>
      </c>
      <c r="I79">
        <v>185</v>
      </c>
      <c r="J79">
        <v>180</v>
      </c>
      <c r="K79">
        <v>1</v>
      </c>
      <c r="L79" t="s">
        <v>636</v>
      </c>
      <c r="M79" t="s">
        <v>633</v>
      </c>
    </row>
    <row r="80" spans="1:13" x14ac:dyDescent="0.3">
      <c r="A80" t="s">
        <v>756</v>
      </c>
      <c r="B80" t="s">
        <v>657</v>
      </c>
      <c r="C80" t="s">
        <v>635</v>
      </c>
      <c r="D80">
        <v>0</v>
      </c>
      <c r="E80" t="s">
        <v>631</v>
      </c>
      <c r="F80" t="s">
        <v>630</v>
      </c>
      <c r="G80">
        <v>3167</v>
      </c>
      <c r="H80">
        <v>2283</v>
      </c>
      <c r="I80">
        <v>154</v>
      </c>
      <c r="J80">
        <v>360</v>
      </c>
      <c r="K80">
        <v>1</v>
      </c>
      <c r="L80" t="s">
        <v>646</v>
      </c>
      <c r="M80" t="s">
        <v>633</v>
      </c>
    </row>
    <row r="81" spans="1:13" x14ac:dyDescent="0.3">
      <c r="A81" t="s">
        <v>758</v>
      </c>
      <c r="B81" t="s">
        <v>629</v>
      </c>
      <c r="C81" t="s">
        <v>635</v>
      </c>
      <c r="D81">
        <v>0</v>
      </c>
      <c r="E81" t="s">
        <v>631</v>
      </c>
      <c r="F81" t="s">
        <v>630</v>
      </c>
      <c r="G81">
        <v>5568</v>
      </c>
      <c r="H81">
        <v>2142</v>
      </c>
      <c r="I81">
        <v>175</v>
      </c>
      <c r="J81">
        <v>360</v>
      </c>
      <c r="K81">
        <v>1</v>
      </c>
      <c r="L81" t="s">
        <v>636</v>
      </c>
      <c r="M81" t="s">
        <v>637</v>
      </c>
    </row>
    <row r="82" spans="1:13" x14ac:dyDescent="0.3">
      <c r="A82" t="s">
        <v>759</v>
      </c>
      <c r="B82" t="s">
        <v>657</v>
      </c>
      <c r="C82" t="s">
        <v>630</v>
      </c>
      <c r="D82">
        <v>0</v>
      </c>
      <c r="E82" t="s">
        <v>631</v>
      </c>
      <c r="F82" t="s">
        <v>630</v>
      </c>
      <c r="G82">
        <v>10408</v>
      </c>
      <c r="H82">
        <v>0</v>
      </c>
      <c r="I82">
        <v>259</v>
      </c>
      <c r="J82">
        <v>360</v>
      </c>
      <c r="K82">
        <v>1</v>
      </c>
      <c r="L82" t="s">
        <v>632</v>
      </c>
      <c r="M82" t="s">
        <v>633</v>
      </c>
    </row>
    <row r="83" spans="1:13" x14ac:dyDescent="0.3">
      <c r="A83" t="s">
        <v>761</v>
      </c>
      <c r="B83" t="s">
        <v>657</v>
      </c>
      <c r="C83" t="s">
        <v>630</v>
      </c>
      <c r="D83">
        <v>0</v>
      </c>
      <c r="E83" t="s">
        <v>631</v>
      </c>
      <c r="F83" t="s">
        <v>630</v>
      </c>
      <c r="G83">
        <v>4166</v>
      </c>
      <c r="H83">
        <v>0</v>
      </c>
      <c r="I83">
        <v>44</v>
      </c>
      <c r="J83">
        <v>360</v>
      </c>
      <c r="K83">
        <v>1</v>
      </c>
      <c r="L83" t="s">
        <v>646</v>
      </c>
      <c r="M83" t="s">
        <v>633</v>
      </c>
    </row>
    <row r="84" spans="1:13" x14ac:dyDescent="0.3">
      <c r="A84" t="s">
        <v>762</v>
      </c>
      <c r="B84" t="s">
        <v>657</v>
      </c>
      <c r="C84" t="s">
        <v>630</v>
      </c>
      <c r="D84">
        <v>0</v>
      </c>
      <c r="E84" t="s">
        <v>631</v>
      </c>
      <c r="F84" t="s">
        <v>630</v>
      </c>
      <c r="G84">
        <v>2137</v>
      </c>
      <c r="H84">
        <v>8980</v>
      </c>
      <c r="I84">
        <v>137</v>
      </c>
      <c r="J84">
        <v>360</v>
      </c>
      <c r="K84">
        <v>0</v>
      </c>
      <c r="L84" t="s">
        <v>646</v>
      </c>
      <c r="M84" t="s">
        <v>633</v>
      </c>
    </row>
    <row r="85" spans="1:13" x14ac:dyDescent="0.3">
      <c r="A85" t="s">
        <v>763</v>
      </c>
      <c r="B85" t="s">
        <v>629</v>
      </c>
      <c r="C85" t="s">
        <v>635</v>
      </c>
      <c r="D85">
        <v>2</v>
      </c>
      <c r="E85" t="s">
        <v>631</v>
      </c>
      <c r="F85" t="s">
        <v>630</v>
      </c>
      <c r="G85">
        <v>2957</v>
      </c>
      <c r="H85">
        <v>0</v>
      </c>
      <c r="I85">
        <v>81</v>
      </c>
      <c r="J85">
        <v>360</v>
      </c>
      <c r="K85">
        <v>1</v>
      </c>
      <c r="L85" t="s">
        <v>646</v>
      </c>
      <c r="M85" t="s">
        <v>633</v>
      </c>
    </row>
    <row r="86" spans="1:13" x14ac:dyDescent="0.3">
      <c r="A86" t="s">
        <v>764</v>
      </c>
      <c r="B86" t="s">
        <v>629</v>
      </c>
      <c r="C86" t="s">
        <v>635</v>
      </c>
      <c r="D86">
        <v>0</v>
      </c>
      <c r="E86" t="s">
        <v>640</v>
      </c>
      <c r="F86" t="s">
        <v>630</v>
      </c>
      <c r="G86">
        <v>4300</v>
      </c>
      <c r="H86">
        <v>2014</v>
      </c>
      <c r="I86">
        <v>194</v>
      </c>
      <c r="J86">
        <v>360</v>
      </c>
      <c r="K86">
        <v>1</v>
      </c>
      <c r="L86" t="s">
        <v>636</v>
      </c>
      <c r="M86" t="s">
        <v>633</v>
      </c>
    </row>
    <row r="87" spans="1:13" x14ac:dyDescent="0.3">
      <c r="A87" t="s">
        <v>768</v>
      </c>
      <c r="B87" t="s">
        <v>629</v>
      </c>
      <c r="C87" t="s">
        <v>635</v>
      </c>
      <c r="D87">
        <v>1</v>
      </c>
      <c r="E87" t="s">
        <v>631</v>
      </c>
      <c r="F87" t="s">
        <v>635</v>
      </c>
      <c r="G87">
        <v>10513</v>
      </c>
      <c r="H87">
        <v>3850</v>
      </c>
      <c r="I87">
        <v>160</v>
      </c>
      <c r="J87">
        <v>180</v>
      </c>
      <c r="K87">
        <v>0</v>
      </c>
      <c r="L87" t="s">
        <v>632</v>
      </c>
      <c r="M87" t="s">
        <v>637</v>
      </c>
    </row>
    <row r="88" spans="1:13" x14ac:dyDescent="0.3">
      <c r="A88" t="s">
        <v>771</v>
      </c>
      <c r="B88" t="s">
        <v>629</v>
      </c>
      <c r="C88" t="s">
        <v>630</v>
      </c>
      <c r="D88">
        <v>0</v>
      </c>
      <c r="E88" t="s">
        <v>631</v>
      </c>
      <c r="F88" t="s">
        <v>630</v>
      </c>
      <c r="G88">
        <v>2014</v>
      </c>
      <c r="H88">
        <v>1929</v>
      </c>
      <c r="I88">
        <v>74</v>
      </c>
      <c r="J88">
        <v>360</v>
      </c>
      <c r="K88">
        <v>1</v>
      </c>
      <c r="L88" t="s">
        <v>632</v>
      </c>
      <c r="M88" t="s">
        <v>633</v>
      </c>
    </row>
    <row r="89" spans="1:13" x14ac:dyDescent="0.3">
      <c r="A89" t="s">
        <v>772</v>
      </c>
      <c r="B89" t="s">
        <v>629</v>
      </c>
      <c r="C89" t="s">
        <v>630</v>
      </c>
      <c r="D89">
        <v>0</v>
      </c>
      <c r="E89" t="s">
        <v>631</v>
      </c>
      <c r="F89" t="s">
        <v>630</v>
      </c>
      <c r="G89">
        <v>2718</v>
      </c>
      <c r="H89">
        <v>0</v>
      </c>
      <c r="I89">
        <v>70</v>
      </c>
      <c r="J89">
        <v>360</v>
      </c>
      <c r="K89">
        <v>1</v>
      </c>
      <c r="L89" t="s">
        <v>646</v>
      </c>
      <c r="M89" t="s">
        <v>633</v>
      </c>
    </row>
    <row r="90" spans="1:13" x14ac:dyDescent="0.3">
      <c r="A90" t="s">
        <v>773</v>
      </c>
      <c r="B90" t="s">
        <v>629</v>
      </c>
      <c r="C90" t="s">
        <v>635</v>
      </c>
      <c r="D90">
        <v>0</v>
      </c>
      <c r="E90" t="s">
        <v>631</v>
      </c>
      <c r="F90" t="s">
        <v>635</v>
      </c>
      <c r="G90">
        <v>3459</v>
      </c>
      <c r="H90">
        <v>0</v>
      </c>
      <c r="I90">
        <v>25</v>
      </c>
      <c r="J90">
        <v>120</v>
      </c>
      <c r="K90">
        <v>1</v>
      </c>
      <c r="L90" t="s">
        <v>646</v>
      </c>
      <c r="M90" t="s">
        <v>633</v>
      </c>
    </row>
    <row r="91" spans="1:13" x14ac:dyDescent="0.3">
      <c r="A91" t="s">
        <v>774</v>
      </c>
      <c r="B91" t="s">
        <v>629</v>
      </c>
      <c r="C91" t="s">
        <v>630</v>
      </c>
      <c r="D91">
        <v>0</v>
      </c>
      <c r="E91" t="s">
        <v>631</v>
      </c>
      <c r="F91" t="s">
        <v>630</v>
      </c>
      <c r="G91">
        <v>4895</v>
      </c>
      <c r="H91">
        <v>0</v>
      </c>
      <c r="I91">
        <v>102</v>
      </c>
      <c r="J91">
        <v>360</v>
      </c>
      <c r="K91">
        <v>1</v>
      </c>
      <c r="L91" t="s">
        <v>646</v>
      </c>
      <c r="M91" t="s">
        <v>633</v>
      </c>
    </row>
    <row r="92" spans="1:13" x14ac:dyDescent="0.3">
      <c r="A92" t="s">
        <v>775</v>
      </c>
      <c r="B92" t="s">
        <v>629</v>
      </c>
      <c r="C92" t="s">
        <v>635</v>
      </c>
      <c r="D92" t="s">
        <v>645</v>
      </c>
      <c r="E92" t="s">
        <v>631</v>
      </c>
      <c r="F92" t="s">
        <v>630</v>
      </c>
      <c r="G92">
        <v>4000</v>
      </c>
      <c r="H92">
        <v>7750</v>
      </c>
      <c r="I92">
        <v>290</v>
      </c>
      <c r="J92">
        <v>360</v>
      </c>
      <c r="K92">
        <v>1</v>
      </c>
      <c r="L92" t="s">
        <v>646</v>
      </c>
      <c r="M92" t="s">
        <v>637</v>
      </c>
    </row>
    <row r="93" spans="1:13" x14ac:dyDescent="0.3">
      <c r="A93" t="s">
        <v>776</v>
      </c>
      <c r="B93" t="s">
        <v>657</v>
      </c>
      <c r="C93" t="s">
        <v>635</v>
      </c>
      <c r="D93">
        <v>0</v>
      </c>
      <c r="E93" t="s">
        <v>631</v>
      </c>
      <c r="F93" t="s">
        <v>630</v>
      </c>
      <c r="G93">
        <v>4583</v>
      </c>
      <c r="H93">
        <v>0</v>
      </c>
      <c r="I93">
        <v>84</v>
      </c>
      <c r="J93">
        <v>360</v>
      </c>
      <c r="K93">
        <v>1</v>
      </c>
      <c r="L93" t="s">
        <v>636</v>
      </c>
      <c r="M93" t="s">
        <v>637</v>
      </c>
    </row>
    <row r="94" spans="1:13" x14ac:dyDescent="0.3">
      <c r="A94" t="s">
        <v>777</v>
      </c>
      <c r="B94" t="s">
        <v>629</v>
      </c>
      <c r="C94" t="s">
        <v>635</v>
      </c>
      <c r="D94">
        <v>2</v>
      </c>
      <c r="E94" t="s">
        <v>631</v>
      </c>
      <c r="F94" t="s">
        <v>635</v>
      </c>
      <c r="G94">
        <v>3316</v>
      </c>
      <c r="H94">
        <v>3500</v>
      </c>
      <c r="I94">
        <v>88</v>
      </c>
      <c r="J94">
        <v>360</v>
      </c>
      <c r="K94">
        <v>1</v>
      </c>
      <c r="L94" t="s">
        <v>632</v>
      </c>
      <c r="M94" t="s">
        <v>633</v>
      </c>
    </row>
    <row r="95" spans="1:13" x14ac:dyDescent="0.3">
      <c r="A95" t="s">
        <v>778</v>
      </c>
      <c r="B95" t="s">
        <v>629</v>
      </c>
      <c r="C95" t="s">
        <v>630</v>
      </c>
      <c r="D95">
        <v>0</v>
      </c>
      <c r="E95" t="s">
        <v>631</v>
      </c>
      <c r="F95" t="s">
        <v>630</v>
      </c>
      <c r="G95">
        <v>14999</v>
      </c>
      <c r="H95">
        <v>0</v>
      </c>
      <c r="I95">
        <v>242</v>
      </c>
      <c r="J95">
        <v>360</v>
      </c>
      <c r="K95">
        <v>0</v>
      </c>
      <c r="L95" t="s">
        <v>646</v>
      </c>
      <c r="M95" t="s">
        <v>637</v>
      </c>
    </row>
    <row r="96" spans="1:13" x14ac:dyDescent="0.3">
      <c r="A96" t="s">
        <v>779</v>
      </c>
      <c r="B96" t="s">
        <v>629</v>
      </c>
      <c r="C96" t="s">
        <v>635</v>
      </c>
      <c r="D96">
        <v>2</v>
      </c>
      <c r="E96" t="s">
        <v>640</v>
      </c>
      <c r="F96" t="s">
        <v>630</v>
      </c>
      <c r="G96">
        <v>4200</v>
      </c>
      <c r="H96">
        <v>1430</v>
      </c>
      <c r="I96">
        <v>129</v>
      </c>
      <c r="J96">
        <v>360</v>
      </c>
      <c r="K96">
        <v>1</v>
      </c>
      <c r="L96" t="s">
        <v>636</v>
      </c>
      <c r="M96" t="s">
        <v>637</v>
      </c>
    </row>
    <row r="97" spans="1:13" x14ac:dyDescent="0.3">
      <c r="A97" t="s">
        <v>780</v>
      </c>
      <c r="B97" t="s">
        <v>629</v>
      </c>
      <c r="C97" t="s">
        <v>635</v>
      </c>
      <c r="D97">
        <v>2</v>
      </c>
      <c r="E97" t="s">
        <v>631</v>
      </c>
      <c r="F97" t="s">
        <v>630</v>
      </c>
      <c r="G97">
        <v>5042</v>
      </c>
      <c r="H97">
        <v>2083</v>
      </c>
      <c r="I97">
        <v>185</v>
      </c>
      <c r="J97">
        <v>360</v>
      </c>
      <c r="K97">
        <v>1</v>
      </c>
      <c r="L97" t="s">
        <v>636</v>
      </c>
      <c r="M97" t="s">
        <v>637</v>
      </c>
    </row>
    <row r="98" spans="1:13" x14ac:dyDescent="0.3">
      <c r="A98" t="s">
        <v>781</v>
      </c>
      <c r="B98" t="s">
        <v>629</v>
      </c>
      <c r="C98" t="s">
        <v>630</v>
      </c>
      <c r="D98">
        <v>0</v>
      </c>
      <c r="E98" t="s">
        <v>631</v>
      </c>
      <c r="F98" t="s">
        <v>630</v>
      </c>
      <c r="G98">
        <v>5417</v>
      </c>
      <c r="H98">
        <v>0</v>
      </c>
      <c r="I98">
        <v>168</v>
      </c>
      <c r="J98">
        <v>360</v>
      </c>
      <c r="K98">
        <v>1</v>
      </c>
      <c r="L98" t="s">
        <v>632</v>
      </c>
      <c r="M98" t="s">
        <v>633</v>
      </c>
    </row>
    <row r="99" spans="1:13" x14ac:dyDescent="0.3">
      <c r="A99" t="s">
        <v>782</v>
      </c>
      <c r="B99" t="s">
        <v>629</v>
      </c>
      <c r="C99" t="s">
        <v>630</v>
      </c>
      <c r="D99">
        <v>0</v>
      </c>
      <c r="E99" t="s">
        <v>631</v>
      </c>
      <c r="F99" t="s">
        <v>635</v>
      </c>
      <c r="G99">
        <v>6950</v>
      </c>
      <c r="H99">
        <v>0</v>
      </c>
      <c r="I99">
        <v>175</v>
      </c>
      <c r="J99">
        <v>180</v>
      </c>
      <c r="K99">
        <v>1</v>
      </c>
      <c r="L99" t="s">
        <v>646</v>
      </c>
      <c r="M99" t="s">
        <v>633</v>
      </c>
    </row>
    <row r="100" spans="1:13" x14ac:dyDescent="0.3">
      <c r="A100" t="s">
        <v>783</v>
      </c>
      <c r="B100" t="s">
        <v>629</v>
      </c>
      <c r="C100" t="s">
        <v>635</v>
      </c>
      <c r="D100">
        <v>0</v>
      </c>
      <c r="E100" t="s">
        <v>631</v>
      </c>
      <c r="F100" t="s">
        <v>630</v>
      </c>
      <c r="G100">
        <v>2698</v>
      </c>
      <c r="H100">
        <v>2034</v>
      </c>
      <c r="I100">
        <v>122</v>
      </c>
      <c r="J100">
        <v>360</v>
      </c>
      <c r="K100">
        <v>1</v>
      </c>
      <c r="L100" t="s">
        <v>646</v>
      </c>
      <c r="M100" t="s">
        <v>633</v>
      </c>
    </row>
    <row r="101" spans="1:13" x14ac:dyDescent="0.3">
      <c r="A101" t="s">
        <v>784</v>
      </c>
      <c r="B101" t="s">
        <v>629</v>
      </c>
      <c r="C101" t="s">
        <v>635</v>
      </c>
      <c r="D101">
        <v>2</v>
      </c>
      <c r="E101" t="s">
        <v>631</v>
      </c>
      <c r="F101" t="s">
        <v>630</v>
      </c>
      <c r="G101">
        <v>11757</v>
      </c>
      <c r="H101">
        <v>0</v>
      </c>
      <c r="I101">
        <v>187</v>
      </c>
      <c r="J101">
        <v>180</v>
      </c>
      <c r="K101">
        <v>1</v>
      </c>
      <c r="L101" t="s">
        <v>632</v>
      </c>
      <c r="M101" t="s">
        <v>633</v>
      </c>
    </row>
    <row r="102" spans="1:13" x14ac:dyDescent="0.3">
      <c r="A102" t="s">
        <v>785</v>
      </c>
      <c r="B102" t="s">
        <v>657</v>
      </c>
      <c r="C102" t="s">
        <v>635</v>
      </c>
      <c r="D102">
        <v>0</v>
      </c>
      <c r="E102" t="s">
        <v>631</v>
      </c>
      <c r="F102" t="s">
        <v>630</v>
      </c>
      <c r="G102">
        <v>2330</v>
      </c>
      <c r="H102">
        <v>4486</v>
      </c>
      <c r="I102">
        <v>100</v>
      </c>
      <c r="J102">
        <v>360</v>
      </c>
      <c r="K102">
        <v>1</v>
      </c>
      <c r="L102" t="s">
        <v>646</v>
      </c>
      <c r="M102" t="s">
        <v>633</v>
      </c>
    </row>
    <row r="103" spans="1:13" x14ac:dyDescent="0.3">
      <c r="A103" t="s">
        <v>786</v>
      </c>
      <c r="B103" t="s">
        <v>657</v>
      </c>
      <c r="C103" t="s">
        <v>635</v>
      </c>
      <c r="D103">
        <v>2</v>
      </c>
      <c r="E103" t="s">
        <v>631</v>
      </c>
      <c r="F103" t="s">
        <v>630</v>
      </c>
      <c r="G103">
        <v>14866</v>
      </c>
      <c r="H103">
        <v>0</v>
      </c>
      <c r="I103">
        <v>70</v>
      </c>
      <c r="J103">
        <v>360</v>
      </c>
      <c r="K103">
        <v>1</v>
      </c>
      <c r="L103" t="s">
        <v>632</v>
      </c>
      <c r="M103" t="s">
        <v>633</v>
      </c>
    </row>
    <row r="104" spans="1:13" x14ac:dyDescent="0.3">
      <c r="A104" t="s">
        <v>787</v>
      </c>
      <c r="B104" t="s">
        <v>629</v>
      </c>
      <c r="C104" t="s">
        <v>635</v>
      </c>
      <c r="D104">
        <v>1</v>
      </c>
      <c r="E104" t="s">
        <v>631</v>
      </c>
      <c r="F104" t="s">
        <v>630</v>
      </c>
      <c r="G104">
        <v>1538</v>
      </c>
      <c r="H104">
        <v>1425</v>
      </c>
      <c r="I104">
        <v>30</v>
      </c>
      <c r="J104">
        <v>360</v>
      </c>
      <c r="K104">
        <v>1</v>
      </c>
      <c r="L104" t="s">
        <v>632</v>
      </c>
      <c r="M104" t="s">
        <v>633</v>
      </c>
    </row>
    <row r="105" spans="1:13" x14ac:dyDescent="0.3">
      <c r="A105" t="s">
        <v>788</v>
      </c>
      <c r="B105" t="s">
        <v>657</v>
      </c>
      <c r="C105" t="s">
        <v>630</v>
      </c>
      <c r="D105">
        <v>0</v>
      </c>
      <c r="E105" t="s">
        <v>631</v>
      </c>
      <c r="F105" t="s">
        <v>630</v>
      </c>
      <c r="G105">
        <v>10000</v>
      </c>
      <c r="H105">
        <v>1666</v>
      </c>
      <c r="I105">
        <v>225</v>
      </c>
      <c r="J105">
        <v>360</v>
      </c>
      <c r="K105">
        <v>1</v>
      </c>
      <c r="L105" t="s">
        <v>636</v>
      </c>
      <c r="M105" t="s">
        <v>637</v>
      </c>
    </row>
    <row r="106" spans="1:13" x14ac:dyDescent="0.3">
      <c r="A106" t="s">
        <v>789</v>
      </c>
      <c r="B106" t="s">
        <v>629</v>
      </c>
      <c r="C106" t="s">
        <v>635</v>
      </c>
      <c r="D106">
        <v>0</v>
      </c>
      <c r="E106" t="s">
        <v>631</v>
      </c>
      <c r="F106" t="s">
        <v>630</v>
      </c>
      <c r="G106">
        <v>4860</v>
      </c>
      <c r="H106">
        <v>830</v>
      </c>
      <c r="I106">
        <v>125</v>
      </c>
      <c r="J106">
        <v>360</v>
      </c>
      <c r="K106">
        <v>1</v>
      </c>
      <c r="L106" t="s">
        <v>646</v>
      </c>
      <c r="M106" t="s">
        <v>633</v>
      </c>
    </row>
    <row r="107" spans="1:13" x14ac:dyDescent="0.3">
      <c r="A107" t="s">
        <v>790</v>
      </c>
      <c r="B107" t="s">
        <v>629</v>
      </c>
      <c r="C107" t="s">
        <v>630</v>
      </c>
      <c r="D107">
        <v>0</v>
      </c>
      <c r="E107" t="s">
        <v>631</v>
      </c>
      <c r="F107" t="s">
        <v>630</v>
      </c>
      <c r="G107">
        <v>6277</v>
      </c>
      <c r="H107">
        <v>0</v>
      </c>
      <c r="I107">
        <v>118</v>
      </c>
      <c r="J107">
        <v>360</v>
      </c>
      <c r="K107">
        <v>0</v>
      </c>
      <c r="L107" t="s">
        <v>636</v>
      </c>
      <c r="M107" t="s">
        <v>637</v>
      </c>
    </row>
    <row r="108" spans="1:13" x14ac:dyDescent="0.3">
      <c r="A108" t="s">
        <v>791</v>
      </c>
      <c r="B108" t="s">
        <v>629</v>
      </c>
      <c r="C108" t="s">
        <v>635</v>
      </c>
      <c r="D108">
        <v>0</v>
      </c>
      <c r="E108" t="s">
        <v>631</v>
      </c>
      <c r="F108" t="s">
        <v>635</v>
      </c>
      <c r="G108">
        <v>2577</v>
      </c>
      <c r="H108">
        <v>3750</v>
      </c>
      <c r="I108">
        <v>152</v>
      </c>
      <c r="J108">
        <v>360</v>
      </c>
      <c r="K108">
        <v>1</v>
      </c>
      <c r="L108" t="s">
        <v>636</v>
      </c>
      <c r="M108" t="s">
        <v>633</v>
      </c>
    </row>
    <row r="109" spans="1:13" x14ac:dyDescent="0.3">
      <c r="A109" t="s">
        <v>792</v>
      </c>
      <c r="B109" t="s">
        <v>629</v>
      </c>
      <c r="C109" t="s">
        <v>630</v>
      </c>
      <c r="D109">
        <v>0</v>
      </c>
      <c r="E109" t="s">
        <v>631</v>
      </c>
      <c r="F109" t="s">
        <v>630</v>
      </c>
      <c r="G109">
        <v>9166</v>
      </c>
      <c r="H109">
        <v>0</v>
      </c>
      <c r="I109">
        <v>244</v>
      </c>
      <c r="J109">
        <v>360</v>
      </c>
      <c r="K109">
        <v>1</v>
      </c>
      <c r="L109" t="s">
        <v>632</v>
      </c>
      <c r="M109" t="s">
        <v>637</v>
      </c>
    </row>
    <row r="110" spans="1:13" x14ac:dyDescent="0.3">
      <c r="A110" t="s">
        <v>793</v>
      </c>
      <c r="B110" t="s">
        <v>629</v>
      </c>
      <c r="C110" t="s">
        <v>635</v>
      </c>
      <c r="D110">
        <v>2</v>
      </c>
      <c r="E110" t="s">
        <v>640</v>
      </c>
      <c r="F110" t="s">
        <v>630</v>
      </c>
      <c r="G110">
        <v>2281</v>
      </c>
      <c r="H110">
        <v>0</v>
      </c>
      <c r="I110">
        <v>113</v>
      </c>
      <c r="J110">
        <v>360</v>
      </c>
      <c r="K110">
        <v>1</v>
      </c>
      <c r="L110" t="s">
        <v>636</v>
      </c>
      <c r="M110" t="s">
        <v>637</v>
      </c>
    </row>
    <row r="111" spans="1:13" x14ac:dyDescent="0.3">
      <c r="A111" t="s">
        <v>794</v>
      </c>
      <c r="B111" t="s">
        <v>629</v>
      </c>
      <c r="C111" t="s">
        <v>630</v>
      </c>
      <c r="D111">
        <v>0</v>
      </c>
      <c r="E111" t="s">
        <v>631</v>
      </c>
      <c r="F111" t="s">
        <v>630</v>
      </c>
      <c r="G111">
        <v>3254</v>
      </c>
      <c r="H111">
        <v>0</v>
      </c>
      <c r="I111">
        <v>50</v>
      </c>
      <c r="J111">
        <v>360</v>
      </c>
      <c r="K111">
        <v>1</v>
      </c>
      <c r="L111" t="s">
        <v>632</v>
      </c>
      <c r="M111" t="s">
        <v>633</v>
      </c>
    </row>
    <row r="112" spans="1:13" x14ac:dyDescent="0.3">
      <c r="A112" t="s">
        <v>795</v>
      </c>
      <c r="B112" t="s">
        <v>629</v>
      </c>
      <c r="C112" t="s">
        <v>635</v>
      </c>
      <c r="D112" t="s">
        <v>645</v>
      </c>
      <c r="E112" t="s">
        <v>631</v>
      </c>
      <c r="F112" t="s">
        <v>630</v>
      </c>
      <c r="G112">
        <v>39999</v>
      </c>
      <c r="H112">
        <v>0</v>
      </c>
      <c r="I112">
        <v>600</v>
      </c>
      <c r="J112">
        <v>180</v>
      </c>
      <c r="K112">
        <v>0</v>
      </c>
      <c r="L112" t="s">
        <v>646</v>
      </c>
      <c r="M112" t="s">
        <v>633</v>
      </c>
    </row>
    <row r="113" spans="1:13" x14ac:dyDescent="0.3">
      <c r="A113" t="s">
        <v>797</v>
      </c>
      <c r="B113" t="s">
        <v>629</v>
      </c>
      <c r="C113" t="s">
        <v>635</v>
      </c>
      <c r="D113">
        <v>1</v>
      </c>
      <c r="E113" t="s">
        <v>631</v>
      </c>
      <c r="F113" t="s">
        <v>630</v>
      </c>
      <c r="G113">
        <v>9538</v>
      </c>
      <c r="H113">
        <v>0</v>
      </c>
      <c r="I113">
        <v>187</v>
      </c>
      <c r="J113">
        <v>360</v>
      </c>
      <c r="K113">
        <v>1</v>
      </c>
      <c r="L113" t="s">
        <v>632</v>
      </c>
      <c r="M113" t="s">
        <v>633</v>
      </c>
    </row>
    <row r="114" spans="1:13" x14ac:dyDescent="0.3">
      <c r="A114" t="s">
        <v>799</v>
      </c>
      <c r="B114" t="s">
        <v>629</v>
      </c>
      <c r="C114" t="s">
        <v>635</v>
      </c>
      <c r="D114">
        <v>0</v>
      </c>
      <c r="E114" t="s">
        <v>631</v>
      </c>
      <c r="F114" t="s">
        <v>630</v>
      </c>
      <c r="G114">
        <v>4583</v>
      </c>
      <c r="H114">
        <v>5625</v>
      </c>
      <c r="I114">
        <v>255</v>
      </c>
      <c r="J114">
        <v>360</v>
      </c>
      <c r="K114">
        <v>1</v>
      </c>
      <c r="L114" t="s">
        <v>646</v>
      </c>
      <c r="M114" t="s">
        <v>633</v>
      </c>
    </row>
    <row r="115" spans="1:13" x14ac:dyDescent="0.3">
      <c r="A115" t="s">
        <v>800</v>
      </c>
      <c r="B115" t="s">
        <v>629</v>
      </c>
      <c r="C115" t="s">
        <v>635</v>
      </c>
      <c r="D115">
        <v>0</v>
      </c>
      <c r="E115" t="s">
        <v>640</v>
      </c>
      <c r="F115" t="s">
        <v>630</v>
      </c>
      <c r="G115">
        <v>1863</v>
      </c>
      <c r="H115">
        <v>1041</v>
      </c>
      <c r="I115">
        <v>98</v>
      </c>
      <c r="J115">
        <v>360</v>
      </c>
      <c r="K115">
        <v>1</v>
      </c>
      <c r="L115" t="s">
        <v>646</v>
      </c>
      <c r="M115" t="s">
        <v>633</v>
      </c>
    </row>
    <row r="116" spans="1:13" x14ac:dyDescent="0.3">
      <c r="A116" t="s">
        <v>801</v>
      </c>
      <c r="B116" t="s">
        <v>629</v>
      </c>
      <c r="C116" t="s">
        <v>635</v>
      </c>
      <c r="D116">
        <v>0</v>
      </c>
      <c r="E116" t="s">
        <v>631</v>
      </c>
      <c r="F116" t="s">
        <v>630</v>
      </c>
      <c r="G116">
        <v>7933</v>
      </c>
      <c r="H116">
        <v>0</v>
      </c>
      <c r="I116">
        <v>275</v>
      </c>
      <c r="J116">
        <v>360</v>
      </c>
      <c r="K116">
        <v>1</v>
      </c>
      <c r="L116" t="s">
        <v>632</v>
      </c>
      <c r="M116" t="s">
        <v>637</v>
      </c>
    </row>
    <row r="117" spans="1:13" x14ac:dyDescent="0.3">
      <c r="A117" t="s">
        <v>802</v>
      </c>
      <c r="B117" t="s">
        <v>629</v>
      </c>
      <c r="C117" t="s">
        <v>635</v>
      </c>
      <c r="D117">
        <v>1</v>
      </c>
      <c r="E117" t="s">
        <v>631</v>
      </c>
      <c r="F117" t="s">
        <v>630</v>
      </c>
      <c r="G117">
        <v>3089</v>
      </c>
      <c r="H117">
        <v>1280</v>
      </c>
      <c r="I117">
        <v>121</v>
      </c>
      <c r="J117">
        <v>360</v>
      </c>
      <c r="K117">
        <v>0</v>
      </c>
      <c r="L117" t="s">
        <v>646</v>
      </c>
      <c r="M117" t="s">
        <v>637</v>
      </c>
    </row>
    <row r="118" spans="1:13" x14ac:dyDescent="0.3">
      <c r="A118" t="s">
        <v>803</v>
      </c>
      <c r="B118" t="s">
        <v>629</v>
      </c>
      <c r="C118" t="s">
        <v>635</v>
      </c>
      <c r="D118">
        <v>2</v>
      </c>
      <c r="E118" t="s">
        <v>631</v>
      </c>
      <c r="F118" t="s">
        <v>630</v>
      </c>
      <c r="G118">
        <v>4167</v>
      </c>
      <c r="H118">
        <v>1447</v>
      </c>
      <c r="I118">
        <v>158</v>
      </c>
      <c r="J118">
        <v>360</v>
      </c>
      <c r="K118">
        <v>1</v>
      </c>
      <c r="L118" t="s">
        <v>636</v>
      </c>
      <c r="M118" t="s">
        <v>633</v>
      </c>
    </row>
    <row r="119" spans="1:13" x14ac:dyDescent="0.3">
      <c r="A119" t="s">
        <v>804</v>
      </c>
      <c r="B119" t="s">
        <v>629</v>
      </c>
      <c r="C119" t="s">
        <v>635</v>
      </c>
      <c r="D119">
        <v>0</v>
      </c>
      <c r="E119" t="s">
        <v>631</v>
      </c>
      <c r="F119" t="s">
        <v>630</v>
      </c>
      <c r="G119">
        <v>9323</v>
      </c>
      <c r="H119">
        <v>0</v>
      </c>
      <c r="I119">
        <v>75</v>
      </c>
      <c r="J119">
        <v>180</v>
      </c>
      <c r="K119">
        <v>1</v>
      </c>
      <c r="L119" t="s">
        <v>632</v>
      </c>
      <c r="M119" t="s">
        <v>633</v>
      </c>
    </row>
    <row r="120" spans="1:13" x14ac:dyDescent="0.3">
      <c r="A120" t="s">
        <v>806</v>
      </c>
      <c r="B120" t="s">
        <v>657</v>
      </c>
      <c r="C120" t="s">
        <v>635</v>
      </c>
      <c r="D120">
        <v>0</v>
      </c>
      <c r="E120" t="s">
        <v>631</v>
      </c>
      <c r="F120" t="s">
        <v>630</v>
      </c>
      <c r="G120">
        <v>4583</v>
      </c>
      <c r="H120">
        <v>0</v>
      </c>
      <c r="I120">
        <v>112</v>
      </c>
      <c r="J120">
        <v>360</v>
      </c>
      <c r="K120">
        <v>1</v>
      </c>
      <c r="L120" t="s">
        <v>636</v>
      </c>
      <c r="M120" t="s">
        <v>637</v>
      </c>
    </row>
    <row r="121" spans="1:13" x14ac:dyDescent="0.3">
      <c r="A121" t="s">
        <v>807</v>
      </c>
      <c r="B121" t="s">
        <v>629</v>
      </c>
      <c r="C121" t="s">
        <v>635</v>
      </c>
      <c r="D121">
        <v>0</v>
      </c>
      <c r="E121" t="s">
        <v>631</v>
      </c>
      <c r="F121" t="s">
        <v>630</v>
      </c>
      <c r="G121">
        <v>2439</v>
      </c>
      <c r="H121">
        <v>3333</v>
      </c>
      <c r="I121">
        <v>129</v>
      </c>
      <c r="J121">
        <v>360</v>
      </c>
      <c r="K121">
        <v>1</v>
      </c>
      <c r="L121" t="s">
        <v>636</v>
      </c>
      <c r="M121" t="s">
        <v>633</v>
      </c>
    </row>
    <row r="122" spans="1:13" x14ac:dyDescent="0.3">
      <c r="A122" t="s">
        <v>808</v>
      </c>
      <c r="B122" t="s">
        <v>629</v>
      </c>
      <c r="C122" t="s">
        <v>630</v>
      </c>
      <c r="D122">
        <v>0</v>
      </c>
      <c r="E122" t="s">
        <v>631</v>
      </c>
      <c r="F122" t="s">
        <v>630</v>
      </c>
      <c r="G122">
        <v>2237</v>
      </c>
      <c r="H122">
        <v>0</v>
      </c>
      <c r="I122">
        <v>63</v>
      </c>
      <c r="J122">
        <v>480</v>
      </c>
      <c r="K122">
        <v>0</v>
      </c>
      <c r="L122" t="s">
        <v>646</v>
      </c>
      <c r="M122" t="s">
        <v>637</v>
      </c>
    </row>
    <row r="123" spans="1:13" x14ac:dyDescent="0.3">
      <c r="A123" t="s">
        <v>809</v>
      </c>
      <c r="B123" t="s">
        <v>629</v>
      </c>
      <c r="C123" t="s">
        <v>635</v>
      </c>
      <c r="D123">
        <v>2</v>
      </c>
      <c r="E123" t="s">
        <v>631</v>
      </c>
      <c r="F123" t="s">
        <v>630</v>
      </c>
      <c r="G123">
        <v>8000</v>
      </c>
      <c r="H123">
        <v>0</v>
      </c>
      <c r="I123">
        <v>200</v>
      </c>
      <c r="J123">
        <v>360</v>
      </c>
      <c r="K123">
        <v>1</v>
      </c>
      <c r="L123" t="s">
        <v>646</v>
      </c>
      <c r="M123" t="s">
        <v>633</v>
      </c>
    </row>
    <row r="124" spans="1:13" x14ac:dyDescent="0.3">
      <c r="A124" t="s">
        <v>812</v>
      </c>
      <c r="B124" t="s">
        <v>629</v>
      </c>
      <c r="C124" t="s">
        <v>635</v>
      </c>
      <c r="D124" t="s">
        <v>645</v>
      </c>
      <c r="E124" t="s">
        <v>640</v>
      </c>
      <c r="F124" t="s">
        <v>630</v>
      </c>
      <c r="G124">
        <v>3522</v>
      </c>
      <c r="H124">
        <v>0</v>
      </c>
      <c r="I124">
        <v>81</v>
      </c>
      <c r="J124">
        <v>180</v>
      </c>
      <c r="K124">
        <v>1</v>
      </c>
      <c r="L124" t="s">
        <v>636</v>
      </c>
      <c r="M124" t="s">
        <v>637</v>
      </c>
    </row>
    <row r="125" spans="1:13" x14ac:dyDescent="0.3">
      <c r="A125" t="s">
        <v>813</v>
      </c>
      <c r="B125" t="s">
        <v>629</v>
      </c>
      <c r="C125" t="s">
        <v>635</v>
      </c>
      <c r="D125">
        <v>0</v>
      </c>
      <c r="E125" t="s">
        <v>631</v>
      </c>
      <c r="F125" t="s">
        <v>630</v>
      </c>
      <c r="G125">
        <v>5708</v>
      </c>
      <c r="H125">
        <v>5625</v>
      </c>
      <c r="I125">
        <v>187</v>
      </c>
      <c r="J125">
        <v>360</v>
      </c>
      <c r="K125">
        <v>1</v>
      </c>
      <c r="L125" t="s">
        <v>646</v>
      </c>
      <c r="M125" t="s">
        <v>633</v>
      </c>
    </row>
    <row r="126" spans="1:13" x14ac:dyDescent="0.3">
      <c r="A126" t="s">
        <v>814</v>
      </c>
      <c r="B126" t="s">
        <v>629</v>
      </c>
      <c r="C126" t="s">
        <v>635</v>
      </c>
      <c r="D126">
        <v>0</v>
      </c>
      <c r="E126" t="s">
        <v>640</v>
      </c>
      <c r="F126" t="s">
        <v>635</v>
      </c>
      <c r="G126">
        <v>4344</v>
      </c>
      <c r="H126">
        <v>736</v>
      </c>
      <c r="I126">
        <v>87</v>
      </c>
      <c r="J126">
        <v>360</v>
      </c>
      <c r="K126">
        <v>1</v>
      </c>
      <c r="L126" t="s">
        <v>646</v>
      </c>
      <c r="M126" t="s">
        <v>637</v>
      </c>
    </row>
    <row r="127" spans="1:13" x14ac:dyDescent="0.3">
      <c r="A127" t="s">
        <v>815</v>
      </c>
      <c r="B127" t="s">
        <v>629</v>
      </c>
      <c r="C127" t="s">
        <v>635</v>
      </c>
      <c r="D127">
        <v>0</v>
      </c>
      <c r="E127" t="s">
        <v>631</v>
      </c>
      <c r="F127" t="s">
        <v>630</v>
      </c>
      <c r="G127">
        <v>3497</v>
      </c>
      <c r="H127">
        <v>1964</v>
      </c>
      <c r="I127">
        <v>116</v>
      </c>
      <c r="J127">
        <v>360</v>
      </c>
      <c r="K127">
        <v>1</v>
      </c>
      <c r="L127" t="s">
        <v>636</v>
      </c>
      <c r="M127" t="s">
        <v>633</v>
      </c>
    </row>
    <row r="128" spans="1:13" x14ac:dyDescent="0.3">
      <c r="A128" t="s">
        <v>816</v>
      </c>
      <c r="B128" t="s">
        <v>629</v>
      </c>
      <c r="C128" t="s">
        <v>635</v>
      </c>
      <c r="D128">
        <v>2</v>
      </c>
      <c r="E128" t="s">
        <v>631</v>
      </c>
      <c r="F128" t="s">
        <v>630</v>
      </c>
      <c r="G128">
        <v>2045</v>
      </c>
      <c r="H128">
        <v>1619</v>
      </c>
      <c r="I128">
        <v>101</v>
      </c>
      <c r="J128">
        <v>360</v>
      </c>
      <c r="K128">
        <v>1</v>
      </c>
      <c r="L128" t="s">
        <v>636</v>
      </c>
      <c r="M128" t="s">
        <v>633</v>
      </c>
    </row>
    <row r="129" spans="1:13" x14ac:dyDescent="0.3">
      <c r="A129" t="s">
        <v>817</v>
      </c>
      <c r="B129" t="s">
        <v>629</v>
      </c>
      <c r="C129" t="s">
        <v>635</v>
      </c>
      <c r="D129" t="s">
        <v>645</v>
      </c>
      <c r="E129" t="s">
        <v>631</v>
      </c>
      <c r="F129" t="s">
        <v>630</v>
      </c>
      <c r="G129">
        <v>5516</v>
      </c>
      <c r="H129">
        <v>11300</v>
      </c>
      <c r="I129">
        <v>495</v>
      </c>
      <c r="J129">
        <v>360</v>
      </c>
      <c r="K129">
        <v>0</v>
      </c>
      <c r="L129" t="s">
        <v>646</v>
      </c>
      <c r="M129" t="s">
        <v>637</v>
      </c>
    </row>
    <row r="130" spans="1:13" x14ac:dyDescent="0.3">
      <c r="A130" t="s">
        <v>818</v>
      </c>
      <c r="B130" t="s">
        <v>629</v>
      </c>
      <c r="C130" t="s">
        <v>635</v>
      </c>
      <c r="D130">
        <v>1</v>
      </c>
      <c r="E130" t="s">
        <v>631</v>
      </c>
      <c r="F130" t="s">
        <v>630</v>
      </c>
      <c r="G130">
        <v>3750</v>
      </c>
      <c r="H130">
        <v>0</v>
      </c>
      <c r="I130">
        <v>116</v>
      </c>
      <c r="J130">
        <v>360</v>
      </c>
      <c r="K130">
        <v>1</v>
      </c>
      <c r="L130" t="s">
        <v>646</v>
      </c>
      <c r="M130" t="s">
        <v>633</v>
      </c>
    </row>
    <row r="131" spans="1:13" x14ac:dyDescent="0.3">
      <c r="A131" t="s">
        <v>819</v>
      </c>
      <c r="B131" t="s">
        <v>629</v>
      </c>
      <c r="C131" t="s">
        <v>630</v>
      </c>
      <c r="D131">
        <v>0</v>
      </c>
      <c r="E131" t="s">
        <v>640</v>
      </c>
      <c r="F131" t="s">
        <v>630</v>
      </c>
      <c r="G131">
        <v>2333</v>
      </c>
      <c r="H131">
        <v>1451</v>
      </c>
      <c r="I131">
        <v>102</v>
      </c>
      <c r="J131">
        <v>480</v>
      </c>
      <c r="K131">
        <v>0</v>
      </c>
      <c r="L131" t="s">
        <v>632</v>
      </c>
      <c r="M131" t="s">
        <v>637</v>
      </c>
    </row>
    <row r="132" spans="1:13" x14ac:dyDescent="0.3">
      <c r="A132" t="s">
        <v>820</v>
      </c>
      <c r="B132" t="s">
        <v>629</v>
      </c>
      <c r="C132" t="s">
        <v>635</v>
      </c>
      <c r="D132">
        <v>1</v>
      </c>
      <c r="E132" t="s">
        <v>631</v>
      </c>
      <c r="F132" t="s">
        <v>630</v>
      </c>
      <c r="G132">
        <v>6400</v>
      </c>
      <c r="H132">
        <v>7250</v>
      </c>
      <c r="I132">
        <v>180</v>
      </c>
      <c r="J132">
        <v>360</v>
      </c>
      <c r="K132">
        <v>0</v>
      </c>
      <c r="L132" t="s">
        <v>632</v>
      </c>
      <c r="M132" t="s">
        <v>637</v>
      </c>
    </row>
    <row r="133" spans="1:13" x14ac:dyDescent="0.3">
      <c r="A133" t="s">
        <v>822</v>
      </c>
      <c r="B133" t="s">
        <v>629</v>
      </c>
      <c r="C133" t="s">
        <v>635</v>
      </c>
      <c r="D133">
        <v>0</v>
      </c>
      <c r="E133" t="s">
        <v>631</v>
      </c>
      <c r="F133" t="s">
        <v>630</v>
      </c>
      <c r="G133">
        <v>4600</v>
      </c>
      <c r="H133">
        <v>0</v>
      </c>
      <c r="I133">
        <v>73</v>
      </c>
      <c r="J133">
        <v>180</v>
      </c>
      <c r="K133">
        <v>1</v>
      </c>
      <c r="L133" t="s">
        <v>646</v>
      </c>
      <c r="M133" t="s">
        <v>633</v>
      </c>
    </row>
    <row r="134" spans="1:13" x14ac:dyDescent="0.3">
      <c r="A134" t="s">
        <v>823</v>
      </c>
      <c r="B134" t="s">
        <v>629</v>
      </c>
      <c r="C134" t="s">
        <v>635</v>
      </c>
      <c r="D134">
        <v>1</v>
      </c>
      <c r="E134" t="s">
        <v>631</v>
      </c>
      <c r="F134" t="s">
        <v>630</v>
      </c>
      <c r="G134">
        <v>33846</v>
      </c>
      <c r="H134">
        <v>0</v>
      </c>
      <c r="I134">
        <v>260</v>
      </c>
      <c r="J134">
        <v>360</v>
      </c>
      <c r="K134">
        <v>1</v>
      </c>
      <c r="L134" t="s">
        <v>646</v>
      </c>
      <c r="M134" t="s">
        <v>637</v>
      </c>
    </row>
    <row r="135" spans="1:13" x14ac:dyDescent="0.3">
      <c r="A135" t="s">
        <v>824</v>
      </c>
      <c r="B135" t="s">
        <v>657</v>
      </c>
      <c r="C135" t="s">
        <v>635</v>
      </c>
      <c r="D135">
        <v>0</v>
      </c>
      <c r="E135" t="s">
        <v>631</v>
      </c>
      <c r="F135" t="s">
        <v>630</v>
      </c>
      <c r="G135">
        <v>3625</v>
      </c>
      <c r="H135">
        <v>0</v>
      </c>
      <c r="I135">
        <v>108</v>
      </c>
      <c r="J135">
        <v>360</v>
      </c>
      <c r="K135">
        <v>1</v>
      </c>
      <c r="L135" t="s">
        <v>646</v>
      </c>
      <c r="M135" t="s">
        <v>633</v>
      </c>
    </row>
    <row r="136" spans="1:13" x14ac:dyDescent="0.3">
      <c r="A136" t="s">
        <v>825</v>
      </c>
      <c r="B136" t="s">
        <v>629</v>
      </c>
      <c r="C136" t="s">
        <v>635</v>
      </c>
      <c r="D136">
        <v>0</v>
      </c>
      <c r="E136" t="s">
        <v>631</v>
      </c>
      <c r="F136" t="s">
        <v>635</v>
      </c>
      <c r="G136">
        <v>39147</v>
      </c>
      <c r="H136">
        <v>4750</v>
      </c>
      <c r="I136">
        <v>120</v>
      </c>
      <c r="J136">
        <v>360</v>
      </c>
      <c r="K136">
        <v>1</v>
      </c>
      <c r="L136" t="s">
        <v>646</v>
      </c>
      <c r="M136" t="s">
        <v>633</v>
      </c>
    </row>
    <row r="137" spans="1:13" x14ac:dyDescent="0.3">
      <c r="A137" t="s">
        <v>826</v>
      </c>
      <c r="B137" t="s">
        <v>629</v>
      </c>
      <c r="C137" t="s">
        <v>635</v>
      </c>
      <c r="D137">
        <v>1</v>
      </c>
      <c r="E137" t="s">
        <v>631</v>
      </c>
      <c r="F137" t="s">
        <v>635</v>
      </c>
      <c r="G137">
        <v>2178</v>
      </c>
      <c r="H137">
        <v>0</v>
      </c>
      <c r="I137">
        <v>66</v>
      </c>
      <c r="J137">
        <v>300</v>
      </c>
      <c r="K137">
        <v>0</v>
      </c>
      <c r="L137" t="s">
        <v>636</v>
      </c>
      <c r="M137" t="s">
        <v>637</v>
      </c>
    </row>
    <row r="138" spans="1:13" x14ac:dyDescent="0.3">
      <c r="A138" t="s">
        <v>829</v>
      </c>
      <c r="B138" t="s">
        <v>629</v>
      </c>
      <c r="C138" t="s">
        <v>635</v>
      </c>
      <c r="D138">
        <v>0</v>
      </c>
      <c r="E138" t="s">
        <v>631</v>
      </c>
      <c r="F138" t="s">
        <v>630</v>
      </c>
      <c r="G138">
        <v>9328</v>
      </c>
      <c r="H138">
        <v>0</v>
      </c>
      <c r="I138">
        <v>188</v>
      </c>
      <c r="J138">
        <v>180</v>
      </c>
      <c r="K138">
        <v>1</v>
      </c>
      <c r="L138" t="s">
        <v>636</v>
      </c>
      <c r="M138" t="s">
        <v>633</v>
      </c>
    </row>
    <row r="139" spans="1:13" x14ac:dyDescent="0.3">
      <c r="A139" t="s">
        <v>830</v>
      </c>
      <c r="B139" t="s">
        <v>629</v>
      </c>
      <c r="C139" t="s">
        <v>630</v>
      </c>
      <c r="D139">
        <v>0</v>
      </c>
      <c r="E139" t="s">
        <v>640</v>
      </c>
      <c r="F139" t="s">
        <v>630</v>
      </c>
      <c r="G139">
        <v>4885</v>
      </c>
      <c r="H139">
        <v>0</v>
      </c>
      <c r="I139">
        <v>48</v>
      </c>
      <c r="J139">
        <v>360</v>
      </c>
      <c r="K139">
        <v>1</v>
      </c>
      <c r="L139" t="s">
        <v>636</v>
      </c>
      <c r="M139" t="s">
        <v>633</v>
      </c>
    </row>
    <row r="140" spans="1:13" x14ac:dyDescent="0.3">
      <c r="A140" t="s">
        <v>831</v>
      </c>
      <c r="B140" t="s">
        <v>629</v>
      </c>
      <c r="C140" t="s">
        <v>630</v>
      </c>
      <c r="D140">
        <v>0</v>
      </c>
      <c r="E140" t="s">
        <v>631</v>
      </c>
      <c r="F140" t="s">
        <v>630</v>
      </c>
      <c r="G140">
        <v>12000</v>
      </c>
      <c r="H140">
        <v>0</v>
      </c>
      <c r="I140">
        <v>164</v>
      </c>
      <c r="J140">
        <v>360</v>
      </c>
      <c r="K140">
        <v>1</v>
      </c>
      <c r="L140" t="s">
        <v>646</v>
      </c>
      <c r="M140" t="s">
        <v>637</v>
      </c>
    </row>
    <row r="141" spans="1:13" x14ac:dyDescent="0.3">
      <c r="A141" t="s">
        <v>832</v>
      </c>
      <c r="B141" t="s">
        <v>629</v>
      </c>
      <c r="C141" t="s">
        <v>635</v>
      </c>
      <c r="D141">
        <v>0</v>
      </c>
      <c r="E141" t="s">
        <v>640</v>
      </c>
      <c r="F141" t="s">
        <v>630</v>
      </c>
      <c r="G141">
        <v>6033</v>
      </c>
      <c r="H141">
        <v>0</v>
      </c>
      <c r="I141">
        <v>160</v>
      </c>
      <c r="J141">
        <v>360</v>
      </c>
      <c r="K141">
        <v>1</v>
      </c>
      <c r="L141" t="s">
        <v>632</v>
      </c>
      <c r="M141" t="s">
        <v>637</v>
      </c>
    </row>
    <row r="142" spans="1:13" x14ac:dyDescent="0.3">
      <c r="A142" t="s">
        <v>833</v>
      </c>
      <c r="B142" t="s">
        <v>629</v>
      </c>
      <c r="C142" t="s">
        <v>630</v>
      </c>
      <c r="D142">
        <v>0</v>
      </c>
      <c r="E142" t="s">
        <v>631</v>
      </c>
      <c r="F142" t="s">
        <v>630</v>
      </c>
      <c r="G142">
        <v>3858</v>
      </c>
      <c r="H142">
        <v>0</v>
      </c>
      <c r="I142">
        <v>76</v>
      </c>
      <c r="J142">
        <v>360</v>
      </c>
      <c r="K142">
        <v>1</v>
      </c>
      <c r="L142" t="s">
        <v>646</v>
      </c>
      <c r="M142" t="s">
        <v>633</v>
      </c>
    </row>
    <row r="143" spans="1:13" x14ac:dyDescent="0.3">
      <c r="A143" t="s">
        <v>834</v>
      </c>
      <c r="B143" t="s">
        <v>629</v>
      </c>
      <c r="C143" t="s">
        <v>630</v>
      </c>
      <c r="D143">
        <v>0</v>
      </c>
      <c r="E143" t="s">
        <v>631</v>
      </c>
      <c r="F143" t="s">
        <v>630</v>
      </c>
      <c r="G143">
        <v>4191</v>
      </c>
      <c r="H143">
        <v>0</v>
      </c>
      <c r="I143">
        <v>120</v>
      </c>
      <c r="J143">
        <v>360</v>
      </c>
      <c r="K143">
        <v>1</v>
      </c>
      <c r="L143" t="s">
        <v>636</v>
      </c>
      <c r="M143" t="s">
        <v>633</v>
      </c>
    </row>
    <row r="144" spans="1:13" x14ac:dyDescent="0.3">
      <c r="A144" t="s">
        <v>835</v>
      </c>
      <c r="B144" t="s">
        <v>629</v>
      </c>
      <c r="C144" t="s">
        <v>635</v>
      </c>
      <c r="D144">
        <v>1</v>
      </c>
      <c r="E144" t="s">
        <v>631</v>
      </c>
      <c r="F144" t="s">
        <v>630</v>
      </c>
      <c r="G144">
        <v>3125</v>
      </c>
      <c r="H144">
        <v>2583</v>
      </c>
      <c r="I144">
        <v>170</v>
      </c>
      <c r="J144">
        <v>360</v>
      </c>
      <c r="K144">
        <v>1</v>
      </c>
      <c r="L144" t="s">
        <v>646</v>
      </c>
      <c r="M144" t="s">
        <v>637</v>
      </c>
    </row>
    <row r="145" spans="1:13" x14ac:dyDescent="0.3">
      <c r="A145" t="s">
        <v>836</v>
      </c>
      <c r="B145" t="s">
        <v>629</v>
      </c>
      <c r="C145" t="s">
        <v>630</v>
      </c>
      <c r="D145">
        <v>0</v>
      </c>
      <c r="E145" t="s">
        <v>631</v>
      </c>
      <c r="F145" t="s">
        <v>630</v>
      </c>
      <c r="G145">
        <v>8333</v>
      </c>
      <c r="H145">
        <v>3750</v>
      </c>
      <c r="I145">
        <v>187</v>
      </c>
      <c r="J145">
        <v>360</v>
      </c>
      <c r="K145">
        <v>1</v>
      </c>
      <c r="L145" t="s">
        <v>636</v>
      </c>
      <c r="M145" t="s">
        <v>633</v>
      </c>
    </row>
    <row r="146" spans="1:13" x14ac:dyDescent="0.3">
      <c r="A146" t="s">
        <v>839</v>
      </c>
      <c r="B146" t="s">
        <v>629</v>
      </c>
      <c r="C146" t="s">
        <v>630</v>
      </c>
      <c r="D146">
        <v>0</v>
      </c>
      <c r="E146" t="s">
        <v>631</v>
      </c>
      <c r="F146" t="s">
        <v>635</v>
      </c>
      <c r="G146">
        <v>11000</v>
      </c>
      <c r="H146">
        <v>0</v>
      </c>
      <c r="I146">
        <v>83</v>
      </c>
      <c r="J146">
        <v>360</v>
      </c>
      <c r="K146">
        <v>1</v>
      </c>
      <c r="L146" t="s">
        <v>632</v>
      </c>
      <c r="M146" t="s">
        <v>637</v>
      </c>
    </row>
    <row r="147" spans="1:13" x14ac:dyDescent="0.3">
      <c r="A147" t="s">
        <v>840</v>
      </c>
      <c r="B147" t="s">
        <v>629</v>
      </c>
      <c r="C147" t="s">
        <v>635</v>
      </c>
      <c r="D147">
        <v>1</v>
      </c>
      <c r="E147" t="s">
        <v>640</v>
      </c>
      <c r="F147" t="s">
        <v>630</v>
      </c>
      <c r="G147">
        <v>2600</v>
      </c>
      <c r="H147">
        <v>2500</v>
      </c>
      <c r="I147">
        <v>90</v>
      </c>
      <c r="J147">
        <v>360</v>
      </c>
      <c r="K147">
        <v>1</v>
      </c>
      <c r="L147" t="s">
        <v>646</v>
      </c>
      <c r="M147" t="s">
        <v>633</v>
      </c>
    </row>
    <row r="148" spans="1:13" x14ac:dyDescent="0.3">
      <c r="A148" t="s">
        <v>841</v>
      </c>
      <c r="B148" t="s">
        <v>629</v>
      </c>
      <c r="C148" t="s">
        <v>630</v>
      </c>
      <c r="D148">
        <v>2</v>
      </c>
      <c r="E148" t="s">
        <v>631</v>
      </c>
      <c r="F148" t="s">
        <v>630</v>
      </c>
      <c r="G148">
        <v>4923</v>
      </c>
      <c r="H148">
        <v>0</v>
      </c>
      <c r="I148">
        <v>166</v>
      </c>
      <c r="J148">
        <v>360</v>
      </c>
      <c r="K148">
        <v>0</v>
      </c>
      <c r="L148" t="s">
        <v>646</v>
      </c>
      <c r="M148" t="s">
        <v>633</v>
      </c>
    </row>
    <row r="149" spans="1:13" x14ac:dyDescent="0.3">
      <c r="A149" t="s">
        <v>843</v>
      </c>
      <c r="B149" t="s">
        <v>629</v>
      </c>
      <c r="C149" t="s">
        <v>635</v>
      </c>
      <c r="D149">
        <v>1</v>
      </c>
      <c r="E149" t="s">
        <v>640</v>
      </c>
      <c r="F149" t="s">
        <v>630</v>
      </c>
      <c r="G149">
        <v>3500</v>
      </c>
      <c r="H149">
        <v>1083</v>
      </c>
      <c r="I149">
        <v>135</v>
      </c>
      <c r="J149">
        <v>360</v>
      </c>
      <c r="K149">
        <v>1</v>
      </c>
      <c r="L149" t="s">
        <v>632</v>
      </c>
      <c r="M149" t="s">
        <v>633</v>
      </c>
    </row>
    <row r="150" spans="1:13" x14ac:dyDescent="0.3">
      <c r="A150" t="s">
        <v>844</v>
      </c>
      <c r="B150" t="s">
        <v>629</v>
      </c>
      <c r="C150" t="s">
        <v>635</v>
      </c>
      <c r="D150">
        <v>2</v>
      </c>
      <c r="E150" t="s">
        <v>640</v>
      </c>
      <c r="F150" t="s">
        <v>630</v>
      </c>
      <c r="G150">
        <v>3917</v>
      </c>
      <c r="H150">
        <v>0</v>
      </c>
      <c r="I150">
        <v>124</v>
      </c>
      <c r="J150">
        <v>360</v>
      </c>
      <c r="K150">
        <v>1</v>
      </c>
      <c r="L150" t="s">
        <v>646</v>
      </c>
      <c r="M150" t="s">
        <v>633</v>
      </c>
    </row>
    <row r="151" spans="1:13" x14ac:dyDescent="0.3">
      <c r="A151" t="s">
        <v>845</v>
      </c>
      <c r="B151" t="s">
        <v>657</v>
      </c>
      <c r="C151" t="s">
        <v>630</v>
      </c>
      <c r="D151">
        <v>0</v>
      </c>
      <c r="E151" t="s">
        <v>640</v>
      </c>
      <c r="F151" t="s">
        <v>630</v>
      </c>
      <c r="G151">
        <v>4408</v>
      </c>
      <c r="H151">
        <v>0</v>
      </c>
      <c r="I151">
        <v>120</v>
      </c>
      <c r="J151">
        <v>360</v>
      </c>
      <c r="K151">
        <v>1</v>
      </c>
      <c r="L151" t="s">
        <v>646</v>
      </c>
      <c r="M151" t="s">
        <v>633</v>
      </c>
    </row>
    <row r="152" spans="1:13" x14ac:dyDescent="0.3">
      <c r="A152" t="s">
        <v>846</v>
      </c>
      <c r="B152" t="s">
        <v>657</v>
      </c>
      <c r="C152" t="s">
        <v>630</v>
      </c>
      <c r="D152">
        <v>0</v>
      </c>
      <c r="E152" t="s">
        <v>631</v>
      </c>
      <c r="F152" t="s">
        <v>630</v>
      </c>
      <c r="G152">
        <v>3244</v>
      </c>
      <c r="H152">
        <v>0</v>
      </c>
      <c r="I152">
        <v>80</v>
      </c>
      <c r="J152">
        <v>360</v>
      </c>
      <c r="K152">
        <v>1</v>
      </c>
      <c r="L152" t="s">
        <v>632</v>
      </c>
      <c r="M152" t="s">
        <v>633</v>
      </c>
    </row>
    <row r="153" spans="1:13" x14ac:dyDescent="0.3">
      <c r="A153" t="s">
        <v>847</v>
      </c>
      <c r="B153" t="s">
        <v>629</v>
      </c>
      <c r="C153" t="s">
        <v>630</v>
      </c>
      <c r="D153">
        <v>0</v>
      </c>
      <c r="E153" t="s">
        <v>640</v>
      </c>
      <c r="F153" t="s">
        <v>630</v>
      </c>
      <c r="G153">
        <v>3975</v>
      </c>
      <c r="H153">
        <v>2531</v>
      </c>
      <c r="I153">
        <v>55</v>
      </c>
      <c r="J153">
        <v>360</v>
      </c>
      <c r="K153">
        <v>1</v>
      </c>
      <c r="L153" t="s">
        <v>636</v>
      </c>
      <c r="M153" t="s">
        <v>633</v>
      </c>
    </row>
    <row r="154" spans="1:13" x14ac:dyDescent="0.3">
      <c r="A154" t="s">
        <v>848</v>
      </c>
      <c r="B154" t="s">
        <v>629</v>
      </c>
      <c r="C154" t="s">
        <v>630</v>
      </c>
      <c r="D154">
        <v>0</v>
      </c>
      <c r="E154" t="s">
        <v>631</v>
      </c>
      <c r="F154" t="s">
        <v>630</v>
      </c>
      <c r="G154">
        <v>2479</v>
      </c>
      <c r="H154">
        <v>0</v>
      </c>
      <c r="I154">
        <v>59</v>
      </c>
      <c r="J154">
        <v>360</v>
      </c>
      <c r="K154">
        <v>1</v>
      </c>
      <c r="L154" t="s">
        <v>632</v>
      </c>
      <c r="M154" t="s">
        <v>633</v>
      </c>
    </row>
    <row r="155" spans="1:13" x14ac:dyDescent="0.3">
      <c r="A155" t="s">
        <v>849</v>
      </c>
      <c r="B155" t="s">
        <v>629</v>
      </c>
      <c r="C155" t="s">
        <v>630</v>
      </c>
      <c r="D155">
        <v>0</v>
      </c>
      <c r="E155" t="s">
        <v>631</v>
      </c>
      <c r="F155" t="s">
        <v>630</v>
      </c>
      <c r="G155">
        <v>3418</v>
      </c>
      <c r="H155">
        <v>0</v>
      </c>
      <c r="I155">
        <v>127</v>
      </c>
      <c r="J155">
        <v>360</v>
      </c>
      <c r="K155">
        <v>1</v>
      </c>
      <c r="L155" t="s">
        <v>646</v>
      </c>
      <c r="M155" t="s">
        <v>637</v>
      </c>
    </row>
    <row r="156" spans="1:13" x14ac:dyDescent="0.3">
      <c r="A156" t="s">
        <v>850</v>
      </c>
      <c r="B156" t="s">
        <v>657</v>
      </c>
      <c r="C156" t="s">
        <v>630</v>
      </c>
      <c r="D156">
        <v>0</v>
      </c>
      <c r="E156" t="s">
        <v>631</v>
      </c>
      <c r="F156" t="s">
        <v>630</v>
      </c>
      <c r="G156">
        <v>10000</v>
      </c>
      <c r="H156">
        <v>0</v>
      </c>
      <c r="I156">
        <v>214</v>
      </c>
      <c r="J156">
        <v>360</v>
      </c>
      <c r="K156">
        <v>1</v>
      </c>
      <c r="L156" t="s">
        <v>646</v>
      </c>
      <c r="M156" t="s">
        <v>637</v>
      </c>
    </row>
    <row r="157" spans="1:13" x14ac:dyDescent="0.3">
      <c r="A157" t="s">
        <v>851</v>
      </c>
      <c r="B157" t="s">
        <v>629</v>
      </c>
      <c r="C157" t="s">
        <v>635</v>
      </c>
      <c r="D157" t="s">
        <v>645</v>
      </c>
      <c r="E157" t="s">
        <v>631</v>
      </c>
      <c r="F157" t="s">
        <v>630</v>
      </c>
      <c r="G157">
        <v>3430</v>
      </c>
      <c r="H157">
        <v>1250</v>
      </c>
      <c r="I157">
        <v>128</v>
      </c>
      <c r="J157">
        <v>360</v>
      </c>
      <c r="K157">
        <v>0</v>
      </c>
      <c r="L157" t="s">
        <v>646</v>
      </c>
      <c r="M157" t="s">
        <v>637</v>
      </c>
    </row>
    <row r="158" spans="1:13" x14ac:dyDescent="0.3">
      <c r="A158" t="s">
        <v>852</v>
      </c>
      <c r="B158" t="s">
        <v>629</v>
      </c>
      <c r="C158" t="s">
        <v>635</v>
      </c>
      <c r="D158">
        <v>1</v>
      </c>
      <c r="E158" t="s">
        <v>631</v>
      </c>
      <c r="F158" t="s">
        <v>635</v>
      </c>
      <c r="G158">
        <v>7787</v>
      </c>
      <c r="H158">
        <v>0</v>
      </c>
      <c r="I158">
        <v>240</v>
      </c>
      <c r="J158">
        <v>360</v>
      </c>
      <c r="K158">
        <v>1</v>
      </c>
      <c r="L158" t="s">
        <v>632</v>
      </c>
      <c r="M158" t="s">
        <v>633</v>
      </c>
    </row>
    <row r="159" spans="1:13" x14ac:dyDescent="0.3">
      <c r="A159" t="s">
        <v>853</v>
      </c>
      <c r="B159" t="s">
        <v>629</v>
      </c>
      <c r="C159" t="s">
        <v>635</v>
      </c>
      <c r="D159" t="s">
        <v>645</v>
      </c>
      <c r="E159" t="s">
        <v>640</v>
      </c>
      <c r="F159" t="s">
        <v>635</v>
      </c>
      <c r="G159">
        <v>5703</v>
      </c>
      <c r="H159">
        <v>0</v>
      </c>
      <c r="I159">
        <v>130</v>
      </c>
      <c r="J159">
        <v>360</v>
      </c>
      <c r="K159">
        <v>1</v>
      </c>
      <c r="L159" t="s">
        <v>636</v>
      </c>
      <c r="M159" t="s">
        <v>633</v>
      </c>
    </row>
    <row r="160" spans="1:13" x14ac:dyDescent="0.3">
      <c r="A160" t="s">
        <v>854</v>
      </c>
      <c r="B160" t="s">
        <v>629</v>
      </c>
      <c r="C160" t="s">
        <v>635</v>
      </c>
      <c r="D160">
        <v>0</v>
      </c>
      <c r="E160" t="s">
        <v>631</v>
      </c>
      <c r="F160" t="s">
        <v>630</v>
      </c>
      <c r="G160">
        <v>3173</v>
      </c>
      <c r="H160">
        <v>3021</v>
      </c>
      <c r="I160">
        <v>137</v>
      </c>
      <c r="J160">
        <v>360</v>
      </c>
      <c r="K160">
        <v>1</v>
      </c>
      <c r="L160" t="s">
        <v>632</v>
      </c>
      <c r="M160" t="s">
        <v>633</v>
      </c>
    </row>
    <row r="161" spans="1:13" x14ac:dyDescent="0.3">
      <c r="A161" t="s">
        <v>855</v>
      </c>
      <c r="B161" t="s">
        <v>629</v>
      </c>
      <c r="C161" t="s">
        <v>635</v>
      </c>
      <c r="D161" t="s">
        <v>645</v>
      </c>
      <c r="E161" t="s">
        <v>640</v>
      </c>
      <c r="F161" t="s">
        <v>630</v>
      </c>
      <c r="G161">
        <v>3850</v>
      </c>
      <c r="H161">
        <v>983</v>
      </c>
      <c r="I161">
        <v>100</v>
      </c>
      <c r="J161">
        <v>360</v>
      </c>
      <c r="K161">
        <v>1</v>
      </c>
      <c r="L161" t="s">
        <v>646</v>
      </c>
      <c r="M161" t="s">
        <v>633</v>
      </c>
    </row>
    <row r="162" spans="1:13" x14ac:dyDescent="0.3">
      <c r="A162" t="s">
        <v>856</v>
      </c>
      <c r="B162" t="s">
        <v>629</v>
      </c>
      <c r="C162" t="s">
        <v>635</v>
      </c>
      <c r="D162">
        <v>0</v>
      </c>
      <c r="E162" t="s">
        <v>631</v>
      </c>
      <c r="F162" t="s">
        <v>630</v>
      </c>
      <c r="G162">
        <v>150</v>
      </c>
      <c r="H162">
        <v>1800</v>
      </c>
      <c r="I162">
        <v>135</v>
      </c>
      <c r="J162">
        <v>360</v>
      </c>
      <c r="K162">
        <v>1</v>
      </c>
      <c r="L162" t="s">
        <v>636</v>
      </c>
      <c r="M162" t="s">
        <v>637</v>
      </c>
    </row>
    <row r="163" spans="1:13" x14ac:dyDescent="0.3">
      <c r="A163" t="s">
        <v>857</v>
      </c>
      <c r="B163" t="s">
        <v>629</v>
      </c>
      <c r="C163" t="s">
        <v>635</v>
      </c>
      <c r="D163">
        <v>0</v>
      </c>
      <c r="E163" t="s">
        <v>631</v>
      </c>
      <c r="F163" t="s">
        <v>630</v>
      </c>
      <c r="G163">
        <v>3727</v>
      </c>
      <c r="H163">
        <v>1775</v>
      </c>
      <c r="I163">
        <v>131</v>
      </c>
      <c r="J163">
        <v>360</v>
      </c>
      <c r="K163">
        <v>1</v>
      </c>
      <c r="L163" t="s">
        <v>646</v>
      </c>
      <c r="M163" t="s">
        <v>633</v>
      </c>
    </row>
    <row r="164" spans="1:13" x14ac:dyDescent="0.3">
      <c r="A164" t="s">
        <v>860</v>
      </c>
      <c r="B164" t="s">
        <v>629</v>
      </c>
      <c r="C164" t="s">
        <v>635</v>
      </c>
      <c r="D164">
        <v>0</v>
      </c>
      <c r="E164" t="s">
        <v>631</v>
      </c>
      <c r="F164" t="s">
        <v>630</v>
      </c>
      <c r="G164">
        <v>2221</v>
      </c>
      <c r="H164">
        <v>0</v>
      </c>
      <c r="I164">
        <v>60</v>
      </c>
      <c r="J164">
        <v>360</v>
      </c>
      <c r="K164">
        <v>0</v>
      </c>
      <c r="L164" t="s">
        <v>632</v>
      </c>
      <c r="M164" t="s">
        <v>637</v>
      </c>
    </row>
    <row r="165" spans="1:13" x14ac:dyDescent="0.3">
      <c r="A165" t="s">
        <v>861</v>
      </c>
      <c r="B165" t="s">
        <v>629</v>
      </c>
      <c r="C165" t="s">
        <v>635</v>
      </c>
      <c r="D165">
        <v>2</v>
      </c>
      <c r="E165" t="s">
        <v>631</v>
      </c>
      <c r="F165" t="s">
        <v>630</v>
      </c>
      <c r="G165">
        <v>4009</v>
      </c>
      <c r="H165">
        <v>1717</v>
      </c>
      <c r="I165">
        <v>116</v>
      </c>
      <c r="J165">
        <v>360</v>
      </c>
      <c r="K165">
        <v>1</v>
      </c>
      <c r="L165" t="s">
        <v>646</v>
      </c>
      <c r="M165" t="s">
        <v>633</v>
      </c>
    </row>
    <row r="166" spans="1:13" x14ac:dyDescent="0.3">
      <c r="A166" t="s">
        <v>862</v>
      </c>
      <c r="B166" t="s">
        <v>629</v>
      </c>
      <c r="C166" t="s">
        <v>630</v>
      </c>
      <c r="D166">
        <v>0</v>
      </c>
      <c r="E166" t="s">
        <v>631</v>
      </c>
      <c r="F166" t="s">
        <v>630</v>
      </c>
      <c r="G166">
        <v>2971</v>
      </c>
      <c r="H166">
        <v>2791</v>
      </c>
      <c r="I166">
        <v>144</v>
      </c>
      <c r="J166">
        <v>360</v>
      </c>
      <c r="K166">
        <v>1</v>
      </c>
      <c r="L166" t="s">
        <v>646</v>
      </c>
      <c r="M166" t="s">
        <v>633</v>
      </c>
    </row>
    <row r="167" spans="1:13" x14ac:dyDescent="0.3">
      <c r="A167" t="s">
        <v>864</v>
      </c>
      <c r="B167" t="s">
        <v>629</v>
      </c>
      <c r="C167" t="s">
        <v>635</v>
      </c>
      <c r="D167">
        <v>0</v>
      </c>
      <c r="E167" t="s">
        <v>631</v>
      </c>
      <c r="F167" t="s">
        <v>630</v>
      </c>
      <c r="G167">
        <v>6250</v>
      </c>
      <c r="H167">
        <v>0</v>
      </c>
      <c r="I167">
        <v>128</v>
      </c>
      <c r="J167">
        <v>360</v>
      </c>
      <c r="K167">
        <v>1</v>
      </c>
      <c r="L167" t="s">
        <v>646</v>
      </c>
      <c r="M167" t="s">
        <v>633</v>
      </c>
    </row>
    <row r="168" spans="1:13" x14ac:dyDescent="0.3">
      <c r="A168" t="s">
        <v>865</v>
      </c>
      <c r="B168" t="s">
        <v>629</v>
      </c>
      <c r="C168" t="s">
        <v>635</v>
      </c>
      <c r="D168">
        <v>0</v>
      </c>
      <c r="E168" t="s">
        <v>631</v>
      </c>
      <c r="F168" t="s">
        <v>630</v>
      </c>
      <c r="G168">
        <v>3250</v>
      </c>
      <c r="H168">
        <v>0</v>
      </c>
      <c r="I168">
        <v>170</v>
      </c>
      <c r="J168">
        <v>360</v>
      </c>
      <c r="K168">
        <v>1</v>
      </c>
      <c r="L168" t="s">
        <v>636</v>
      </c>
      <c r="M168" t="s">
        <v>637</v>
      </c>
    </row>
    <row r="169" spans="1:13" x14ac:dyDescent="0.3">
      <c r="A169" t="s">
        <v>867</v>
      </c>
      <c r="B169" t="s">
        <v>629</v>
      </c>
      <c r="C169" t="s">
        <v>635</v>
      </c>
      <c r="D169">
        <v>2</v>
      </c>
      <c r="E169" t="s">
        <v>631</v>
      </c>
      <c r="F169" t="s">
        <v>630</v>
      </c>
      <c r="G169">
        <v>6250</v>
      </c>
      <c r="H169">
        <v>1695</v>
      </c>
      <c r="I169">
        <v>210</v>
      </c>
      <c r="J169">
        <v>360</v>
      </c>
      <c r="K169">
        <v>1</v>
      </c>
      <c r="L169" t="s">
        <v>646</v>
      </c>
      <c r="M169" t="s">
        <v>633</v>
      </c>
    </row>
    <row r="170" spans="1:13" x14ac:dyDescent="0.3">
      <c r="A170" t="s">
        <v>869</v>
      </c>
      <c r="B170" t="s">
        <v>629</v>
      </c>
      <c r="C170" t="s">
        <v>630</v>
      </c>
      <c r="D170">
        <v>0</v>
      </c>
      <c r="E170" t="s">
        <v>631</v>
      </c>
      <c r="F170" t="s">
        <v>635</v>
      </c>
      <c r="G170">
        <v>6400</v>
      </c>
      <c r="H170">
        <v>0</v>
      </c>
      <c r="I170">
        <v>200</v>
      </c>
      <c r="J170">
        <v>360</v>
      </c>
      <c r="K170">
        <v>1</v>
      </c>
      <c r="L170" t="s">
        <v>636</v>
      </c>
      <c r="M170" t="s">
        <v>633</v>
      </c>
    </row>
    <row r="171" spans="1:13" x14ac:dyDescent="0.3">
      <c r="A171" t="s">
        <v>870</v>
      </c>
      <c r="B171" t="s">
        <v>629</v>
      </c>
      <c r="C171" t="s">
        <v>635</v>
      </c>
      <c r="D171">
        <v>1</v>
      </c>
      <c r="E171" t="s">
        <v>631</v>
      </c>
      <c r="F171" t="s">
        <v>630</v>
      </c>
      <c r="G171">
        <v>2491</v>
      </c>
      <c r="H171">
        <v>2054</v>
      </c>
      <c r="I171">
        <v>104</v>
      </c>
      <c r="J171">
        <v>360</v>
      </c>
      <c r="K171">
        <v>1</v>
      </c>
      <c r="L171" t="s">
        <v>646</v>
      </c>
      <c r="M171" t="s">
        <v>633</v>
      </c>
    </row>
    <row r="172" spans="1:13" x14ac:dyDescent="0.3">
      <c r="A172" t="s">
        <v>873</v>
      </c>
      <c r="B172" t="s">
        <v>657</v>
      </c>
      <c r="C172" t="s">
        <v>630</v>
      </c>
      <c r="D172">
        <v>0</v>
      </c>
      <c r="E172" t="s">
        <v>631</v>
      </c>
      <c r="F172" t="s">
        <v>630</v>
      </c>
      <c r="G172">
        <v>8333</v>
      </c>
      <c r="H172">
        <v>0</v>
      </c>
      <c r="I172">
        <v>280</v>
      </c>
      <c r="J172">
        <v>360</v>
      </c>
      <c r="K172">
        <v>1</v>
      </c>
      <c r="L172" t="s">
        <v>646</v>
      </c>
      <c r="M172" t="s">
        <v>633</v>
      </c>
    </row>
    <row r="173" spans="1:13" x14ac:dyDescent="0.3">
      <c r="A173" t="s">
        <v>874</v>
      </c>
      <c r="B173" t="s">
        <v>629</v>
      </c>
      <c r="C173" t="s">
        <v>635</v>
      </c>
      <c r="D173">
        <v>1</v>
      </c>
      <c r="E173" t="s">
        <v>631</v>
      </c>
      <c r="F173" t="s">
        <v>630</v>
      </c>
      <c r="G173">
        <v>3155</v>
      </c>
      <c r="H173">
        <v>1779</v>
      </c>
      <c r="I173">
        <v>140</v>
      </c>
      <c r="J173">
        <v>360</v>
      </c>
      <c r="K173">
        <v>1</v>
      </c>
      <c r="L173" t="s">
        <v>646</v>
      </c>
      <c r="M173" t="s">
        <v>633</v>
      </c>
    </row>
    <row r="174" spans="1:13" x14ac:dyDescent="0.3">
      <c r="A174" t="s">
        <v>875</v>
      </c>
      <c r="B174" t="s">
        <v>629</v>
      </c>
      <c r="C174" t="s">
        <v>635</v>
      </c>
      <c r="D174">
        <v>1</v>
      </c>
      <c r="E174" t="s">
        <v>631</v>
      </c>
      <c r="F174" t="s">
        <v>630</v>
      </c>
      <c r="G174">
        <v>5500</v>
      </c>
      <c r="H174">
        <v>1260</v>
      </c>
      <c r="I174">
        <v>170</v>
      </c>
      <c r="J174">
        <v>360</v>
      </c>
      <c r="K174">
        <v>1</v>
      </c>
      <c r="L174" t="s">
        <v>636</v>
      </c>
      <c r="M174" t="s">
        <v>633</v>
      </c>
    </row>
    <row r="175" spans="1:13" x14ac:dyDescent="0.3">
      <c r="A175" t="s">
        <v>878</v>
      </c>
      <c r="B175" t="s">
        <v>657</v>
      </c>
      <c r="C175" t="s">
        <v>630</v>
      </c>
      <c r="D175">
        <v>1</v>
      </c>
      <c r="E175" t="s">
        <v>631</v>
      </c>
      <c r="F175" t="s">
        <v>630</v>
      </c>
      <c r="G175">
        <v>3812</v>
      </c>
      <c r="H175">
        <v>0</v>
      </c>
      <c r="I175">
        <v>112</v>
      </c>
      <c r="J175">
        <v>360</v>
      </c>
      <c r="K175">
        <v>1</v>
      </c>
      <c r="L175" t="s">
        <v>636</v>
      </c>
      <c r="M175" t="s">
        <v>633</v>
      </c>
    </row>
    <row r="176" spans="1:13" x14ac:dyDescent="0.3">
      <c r="A176" t="s">
        <v>879</v>
      </c>
      <c r="B176" t="s">
        <v>629</v>
      </c>
      <c r="C176" t="s">
        <v>635</v>
      </c>
      <c r="D176">
        <v>1</v>
      </c>
      <c r="E176" t="s">
        <v>631</v>
      </c>
      <c r="F176" t="s">
        <v>630</v>
      </c>
      <c r="G176">
        <v>3315</v>
      </c>
      <c r="H176">
        <v>0</v>
      </c>
      <c r="I176">
        <v>96</v>
      </c>
      <c r="J176">
        <v>360</v>
      </c>
      <c r="K176">
        <v>1</v>
      </c>
      <c r="L176" t="s">
        <v>646</v>
      </c>
      <c r="M176" t="s">
        <v>633</v>
      </c>
    </row>
    <row r="177" spans="1:13" x14ac:dyDescent="0.3">
      <c r="A177" t="s">
        <v>880</v>
      </c>
      <c r="B177" t="s">
        <v>629</v>
      </c>
      <c r="C177" t="s">
        <v>635</v>
      </c>
      <c r="D177">
        <v>2</v>
      </c>
      <c r="E177" t="s">
        <v>631</v>
      </c>
      <c r="F177" t="s">
        <v>630</v>
      </c>
      <c r="G177">
        <v>5819</v>
      </c>
      <c r="H177">
        <v>5000</v>
      </c>
      <c r="I177">
        <v>120</v>
      </c>
      <c r="J177">
        <v>360</v>
      </c>
      <c r="K177">
        <v>1</v>
      </c>
      <c r="L177" t="s">
        <v>636</v>
      </c>
      <c r="M177" t="s">
        <v>633</v>
      </c>
    </row>
    <row r="178" spans="1:13" x14ac:dyDescent="0.3">
      <c r="A178" t="s">
        <v>881</v>
      </c>
      <c r="B178" t="s">
        <v>629</v>
      </c>
      <c r="C178" t="s">
        <v>635</v>
      </c>
      <c r="D178">
        <v>1</v>
      </c>
      <c r="E178" t="s">
        <v>640</v>
      </c>
      <c r="F178" t="s">
        <v>630</v>
      </c>
      <c r="G178">
        <v>2510</v>
      </c>
      <c r="H178">
        <v>1983</v>
      </c>
      <c r="I178">
        <v>140</v>
      </c>
      <c r="J178">
        <v>180</v>
      </c>
      <c r="K178">
        <v>1</v>
      </c>
      <c r="L178" t="s">
        <v>632</v>
      </c>
      <c r="M178" t="s">
        <v>637</v>
      </c>
    </row>
    <row r="179" spans="1:13" x14ac:dyDescent="0.3">
      <c r="A179" t="s">
        <v>882</v>
      </c>
      <c r="B179" t="s">
        <v>629</v>
      </c>
      <c r="C179" t="s">
        <v>630</v>
      </c>
      <c r="D179">
        <v>0</v>
      </c>
      <c r="E179" t="s">
        <v>631</v>
      </c>
      <c r="F179" t="s">
        <v>630</v>
      </c>
      <c r="G179">
        <v>2965</v>
      </c>
      <c r="H179">
        <v>5701</v>
      </c>
      <c r="I179">
        <v>155</v>
      </c>
      <c r="J179">
        <v>60</v>
      </c>
      <c r="K179">
        <v>1</v>
      </c>
      <c r="L179" t="s">
        <v>632</v>
      </c>
      <c r="M179" t="s">
        <v>633</v>
      </c>
    </row>
    <row r="180" spans="1:13" x14ac:dyDescent="0.3">
      <c r="A180" t="s">
        <v>883</v>
      </c>
      <c r="B180" t="s">
        <v>629</v>
      </c>
      <c r="C180" t="s">
        <v>635</v>
      </c>
      <c r="D180">
        <v>2</v>
      </c>
      <c r="E180" t="s">
        <v>631</v>
      </c>
      <c r="F180" t="s">
        <v>635</v>
      </c>
      <c r="G180">
        <v>6250</v>
      </c>
      <c r="H180">
        <v>1300</v>
      </c>
      <c r="I180">
        <v>108</v>
      </c>
      <c r="J180">
        <v>360</v>
      </c>
      <c r="K180">
        <v>1</v>
      </c>
      <c r="L180" t="s">
        <v>636</v>
      </c>
      <c r="M180" t="s">
        <v>633</v>
      </c>
    </row>
    <row r="181" spans="1:13" x14ac:dyDescent="0.3">
      <c r="A181" t="s">
        <v>884</v>
      </c>
      <c r="B181" t="s">
        <v>629</v>
      </c>
      <c r="C181" t="s">
        <v>635</v>
      </c>
      <c r="D181">
        <v>0</v>
      </c>
      <c r="E181" t="s">
        <v>640</v>
      </c>
      <c r="F181" t="s">
        <v>630</v>
      </c>
      <c r="G181">
        <v>3406</v>
      </c>
      <c r="H181">
        <v>4417</v>
      </c>
      <c r="I181">
        <v>123</v>
      </c>
      <c r="J181">
        <v>360</v>
      </c>
      <c r="K181">
        <v>1</v>
      </c>
      <c r="L181" t="s">
        <v>646</v>
      </c>
      <c r="M181" t="s">
        <v>633</v>
      </c>
    </row>
    <row r="182" spans="1:13" x14ac:dyDescent="0.3">
      <c r="A182" t="s">
        <v>885</v>
      </c>
      <c r="B182" t="s">
        <v>629</v>
      </c>
      <c r="C182" t="s">
        <v>630</v>
      </c>
      <c r="D182">
        <v>0</v>
      </c>
      <c r="E182" t="s">
        <v>631</v>
      </c>
      <c r="F182" t="s">
        <v>635</v>
      </c>
      <c r="G182">
        <v>6050</v>
      </c>
      <c r="H182">
        <v>4333</v>
      </c>
      <c r="I182">
        <v>120</v>
      </c>
      <c r="J182">
        <v>180</v>
      </c>
      <c r="K182">
        <v>1</v>
      </c>
      <c r="L182" t="s">
        <v>632</v>
      </c>
      <c r="M182" t="s">
        <v>637</v>
      </c>
    </row>
    <row r="183" spans="1:13" x14ac:dyDescent="0.3">
      <c r="A183" t="s">
        <v>886</v>
      </c>
      <c r="B183" t="s">
        <v>629</v>
      </c>
      <c r="C183" t="s">
        <v>635</v>
      </c>
      <c r="D183">
        <v>2</v>
      </c>
      <c r="E183" t="s">
        <v>631</v>
      </c>
      <c r="F183" t="s">
        <v>630</v>
      </c>
      <c r="G183">
        <v>9703</v>
      </c>
      <c r="H183">
        <v>0</v>
      </c>
      <c r="I183">
        <v>112</v>
      </c>
      <c r="J183">
        <v>360</v>
      </c>
      <c r="K183">
        <v>1</v>
      </c>
      <c r="L183" t="s">
        <v>632</v>
      </c>
      <c r="M183" t="s">
        <v>633</v>
      </c>
    </row>
    <row r="184" spans="1:13" x14ac:dyDescent="0.3">
      <c r="A184" t="s">
        <v>887</v>
      </c>
      <c r="B184" t="s">
        <v>629</v>
      </c>
      <c r="C184" t="s">
        <v>635</v>
      </c>
      <c r="D184">
        <v>1</v>
      </c>
      <c r="E184" t="s">
        <v>640</v>
      </c>
      <c r="F184" t="s">
        <v>630</v>
      </c>
      <c r="G184">
        <v>6608</v>
      </c>
      <c r="H184">
        <v>0</v>
      </c>
      <c r="I184">
        <v>137</v>
      </c>
      <c r="J184">
        <v>180</v>
      </c>
      <c r="K184">
        <v>1</v>
      </c>
      <c r="L184" t="s">
        <v>632</v>
      </c>
      <c r="M184" t="s">
        <v>633</v>
      </c>
    </row>
    <row r="185" spans="1:13" x14ac:dyDescent="0.3">
      <c r="A185" t="s">
        <v>888</v>
      </c>
      <c r="B185" t="s">
        <v>629</v>
      </c>
      <c r="C185" t="s">
        <v>635</v>
      </c>
      <c r="D185">
        <v>1</v>
      </c>
      <c r="E185" t="s">
        <v>631</v>
      </c>
      <c r="F185" t="s">
        <v>630</v>
      </c>
      <c r="G185">
        <v>2882</v>
      </c>
      <c r="H185">
        <v>1843</v>
      </c>
      <c r="I185">
        <v>123</v>
      </c>
      <c r="J185">
        <v>480</v>
      </c>
      <c r="K185">
        <v>1</v>
      </c>
      <c r="L185" t="s">
        <v>646</v>
      </c>
      <c r="M185" t="s">
        <v>633</v>
      </c>
    </row>
    <row r="186" spans="1:13" x14ac:dyDescent="0.3">
      <c r="A186" t="s">
        <v>889</v>
      </c>
      <c r="B186" t="s">
        <v>629</v>
      </c>
      <c r="C186" t="s">
        <v>635</v>
      </c>
      <c r="D186">
        <v>0</v>
      </c>
      <c r="E186" t="s">
        <v>631</v>
      </c>
      <c r="F186" t="s">
        <v>630</v>
      </c>
      <c r="G186">
        <v>1809</v>
      </c>
      <c r="H186">
        <v>1868</v>
      </c>
      <c r="I186">
        <v>90</v>
      </c>
      <c r="J186">
        <v>360</v>
      </c>
      <c r="K186">
        <v>1</v>
      </c>
      <c r="L186" t="s">
        <v>632</v>
      </c>
      <c r="M186" t="s">
        <v>633</v>
      </c>
    </row>
    <row r="187" spans="1:13" x14ac:dyDescent="0.3">
      <c r="A187" t="s">
        <v>890</v>
      </c>
      <c r="B187" t="s">
        <v>629</v>
      </c>
      <c r="C187" t="s">
        <v>635</v>
      </c>
      <c r="D187">
        <v>0</v>
      </c>
      <c r="E187" t="s">
        <v>640</v>
      </c>
      <c r="F187" t="s">
        <v>630</v>
      </c>
      <c r="G187">
        <v>1668</v>
      </c>
      <c r="H187">
        <v>3890</v>
      </c>
      <c r="I187">
        <v>201</v>
      </c>
      <c r="J187">
        <v>360</v>
      </c>
      <c r="K187">
        <v>0</v>
      </c>
      <c r="L187" t="s">
        <v>646</v>
      </c>
      <c r="M187" t="s">
        <v>637</v>
      </c>
    </row>
    <row r="188" spans="1:13" x14ac:dyDescent="0.3">
      <c r="A188" t="s">
        <v>891</v>
      </c>
      <c r="B188" t="s">
        <v>657</v>
      </c>
      <c r="C188" t="s">
        <v>630</v>
      </c>
      <c r="D188">
        <v>2</v>
      </c>
      <c r="E188" t="s">
        <v>631</v>
      </c>
      <c r="F188" t="s">
        <v>630</v>
      </c>
      <c r="G188">
        <v>3427</v>
      </c>
      <c r="H188">
        <v>0</v>
      </c>
      <c r="I188">
        <v>138</v>
      </c>
      <c r="J188">
        <v>360</v>
      </c>
      <c r="K188">
        <v>1</v>
      </c>
      <c r="L188" t="s">
        <v>632</v>
      </c>
      <c r="M188" t="s">
        <v>637</v>
      </c>
    </row>
    <row r="189" spans="1:13" x14ac:dyDescent="0.3">
      <c r="A189" t="s">
        <v>892</v>
      </c>
      <c r="B189" t="s">
        <v>629</v>
      </c>
      <c r="C189" t="s">
        <v>630</v>
      </c>
      <c r="D189">
        <v>0</v>
      </c>
      <c r="E189" t="s">
        <v>640</v>
      </c>
      <c r="F189" t="s">
        <v>635</v>
      </c>
      <c r="G189">
        <v>2583</v>
      </c>
      <c r="H189">
        <v>2167</v>
      </c>
      <c r="I189">
        <v>104</v>
      </c>
      <c r="J189">
        <v>360</v>
      </c>
      <c r="K189">
        <v>1</v>
      </c>
      <c r="L189" t="s">
        <v>636</v>
      </c>
      <c r="M189" t="s">
        <v>633</v>
      </c>
    </row>
    <row r="190" spans="1:13" x14ac:dyDescent="0.3">
      <c r="A190" t="s">
        <v>893</v>
      </c>
      <c r="B190" t="s">
        <v>629</v>
      </c>
      <c r="C190" t="s">
        <v>635</v>
      </c>
      <c r="D190">
        <v>1</v>
      </c>
      <c r="E190" t="s">
        <v>640</v>
      </c>
      <c r="F190" t="s">
        <v>630</v>
      </c>
      <c r="G190">
        <v>2661</v>
      </c>
      <c r="H190">
        <v>7101</v>
      </c>
      <c r="I190">
        <v>279</v>
      </c>
      <c r="J190">
        <v>180</v>
      </c>
      <c r="K190">
        <v>1</v>
      </c>
      <c r="L190" t="s">
        <v>646</v>
      </c>
      <c r="M190" t="s">
        <v>633</v>
      </c>
    </row>
    <row r="191" spans="1:13" x14ac:dyDescent="0.3">
      <c r="A191" t="s">
        <v>894</v>
      </c>
      <c r="B191" t="s">
        <v>629</v>
      </c>
      <c r="C191" t="s">
        <v>630</v>
      </c>
      <c r="D191">
        <v>0</v>
      </c>
      <c r="E191" t="s">
        <v>631</v>
      </c>
      <c r="F191" t="s">
        <v>635</v>
      </c>
      <c r="G191">
        <v>16250</v>
      </c>
      <c r="H191">
        <v>0</v>
      </c>
      <c r="I191">
        <v>192</v>
      </c>
      <c r="J191">
        <v>360</v>
      </c>
      <c r="K191">
        <v>0</v>
      </c>
      <c r="L191" t="s">
        <v>632</v>
      </c>
      <c r="M191" t="s">
        <v>637</v>
      </c>
    </row>
    <row r="192" spans="1:13" x14ac:dyDescent="0.3">
      <c r="A192" t="s">
        <v>895</v>
      </c>
      <c r="B192" t="s">
        <v>657</v>
      </c>
      <c r="C192" t="s">
        <v>630</v>
      </c>
      <c r="D192" t="s">
        <v>645</v>
      </c>
      <c r="E192" t="s">
        <v>631</v>
      </c>
      <c r="F192" t="s">
        <v>630</v>
      </c>
      <c r="G192">
        <v>3083</v>
      </c>
      <c r="H192">
        <v>0</v>
      </c>
      <c r="I192">
        <v>255</v>
      </c>
      <c r="J192">
        <v>360</v>
      </c>
      <c r="K192">
        <v>1</v>
      </c>
      <c r="L192" t="s">
        <v>636</v>
      </c>
      <c r="M192" t="s">
        <v>633</v>
      </c>
    </row>
    <row r="193" spans="1:13" x14ac:dyDescent="0.3">
      <c r="A193" t="s">
        <v>896</v>
      </c>
      <c r="B193" t="s">
        <v>629</v>
      </c>
      <c r="C193" t="s">
        <v>630</v>
      </c>
      <c r="D193">
        <v>0</v>
      </c>
      <c r="E193" t="s">
        <v>640</v>
      </c>
      <c r="F193" t="s">
        <v>630</v>
      </c>
      <c r="G193">
        <v>6045</v>
      </c>
      <c r="H193">
        <v>0</v>
      </c>
      <c r="I193">
        <v>115</v>
      </c>
      <c r="J193">
        <v>360</v>
      </c>
      <c r="K193">
        <v>0</v>
      </c>
      <c r="L193" t="s">
        <v>636</v>
      </c>
      <c r="M193" t="s">
        <v>637</v>
      </c>
    </row>
    <row r="194" spans="1:13" x14ac:dyDescent="0.3">
      <c r="A194" t="s">
        <v>897</v>
      </c>
      <c r="B194" t="s">
        <v>629</v>
      </c>
      <c r="C194" t="s">
        <v>635</v>
      </c>
      <c r="D194" t="s">
        <v>645</v>
      </c>
      <c r="E194" t="s">
        <v>631</v>
      </c>
      <c r="F194" t="s">
        <v>630</v>
      </c>
      <c r="G194">
        <v>5250</v>
      </c>
      <c r="H194">
        <v>0</v>
      </c>
      <c r="I194">
        <v>94</v>
      </c>
      <c r="J194">
        <v>360</v>
      </c>
      <c r="K194">
        <v>1</v>
      </c>
      <c r="L194" t="s">
        <v>632</v>
      </c>
      <c r="M194" t="s">
        <v>637</v>
      </c>
    </row>
    <row r="195" spans="1:13" x14ac:dyDescent="0.3">
      <c r="A195" t="s">
        <v>898</v>
      </c>
      <c r="B195" t="s">
        <v>629</v>
      </c>
      <c r="C195" t="s">
        <v>635</v>
      </c>
      <c r="D195">
        <v>0</v>
      </c>
      <c r="E195" t="s">
        <v>631</v>
      </c>
      <c r="F195" t="s">
        <v>630</v>
      </c>
      <c r="G195">
        <v>14683</v>
      </c>
      <c r="H195">
        <v>2100</v>
      </c>
      <c r="I195">
        <v>304</v>
      </c>
      <c r="J195">
        <v>360</v>
      </c>
      <c r="K195">
        <v>1</v>
      </c>
      <c r="L195" t="s">
        <v>636</v>
      </c>
      <c r="M195" t="s">
        <v>637</v>
      </c>
    </row>
    <row r="196" spans="1:13" x14ac:dyDescent="0.3">
      <c r="A196" t="s">
        <v>901</v>
      </c>
      <c r="B196" t="s">
        <v>629</v>
      </c>
      <c r="C196" t="s">
        <v>630</v>
      </c>
      <c r="D196">
        <v>0</v>
      </c>
      <c r="E196" t="s">
        <v>631</v>
      </c>
      <c r="F196" t="s">
        <v>630</v>
      </c>
      <c r="G196">
        <v>2060</v>
      </c>
      <c r="H196">
        <v>2209</v>
      </c>
      <c r="I196">
        <v>134</v>
      </c>
      <c r="J196">
        <v>360</v>
      </c>
      <c r="K196">
        <v>1</v>
      </c>
      <c r="L196" t="s">
        <v>646</v>
      </c>
      <c r="M196" t="s">
        <v>633</v>
      </c>
    </row>
    <row r="197" spans="1:13" x14ac:dyDescent="0.3">
      <c r="A197" t="s">
        <v>902</v>
      </c>
      <c r="B197" t="s">
        <v>657</v>
      </c>
      <c r="C197" t="s">
        <v>630</v>
      </c>
      <c r="D197">
        <v>1</v>
      </c>
      <c r="E197" t="s">
        <v>631</v>
      </c>
      <c r="F197" t="s">
        <v>630</v>
      </c>
      <c r="G197">
        <v>3481</v>
      </c>
      <c r="H197">
        <v>0</v>
      </c>
      <c r="I197">
        <v>155</v>
      </c>
      <c r="J197">
        <v>36</v>
      </c>
      <c r="K197">
        <v>1</v>
      </c>
      <c r="L197" t="s">
        <v>646</v>
      </c>
      <c r="M197" t="s">
        <v>637</v>
      </c>
    </row>
    <row r="198" spans="1:13" x14ac:dyDescent="0.3">
      <c r="A198" t="s">
        <v>903</v>
      </c>
      <c r="B198" t="s">
        <v>657</v>
      </c>
      <c r="C198" t="s">
        <v>630</v>
      </c>
      <c r="D198">
        <v>0</v>
      </c>
      <c r="E198" t="s">
        <v>631</v>
      </c>
      <c r="F198" t="s">
        <v>630</v>
      </c>
      <c r="G198">
        <v>7200</v>
      </c>
      <c r="H198">
        <v>0</v>
      </c>
      <c r="I198">
        <v>120</v>
      </c>
      <c r="J198">
        <v>360</v>
      </c>
      <c r="K198">
        <v>1</v>
      </c>
      <c r="L198" t="s">
        <v>636</v>
      </c>
      <c r="M198" t="s">
        <v>633</v>
      </c>
    </row>
    <row r="199" spans="1:13" x14ac:dyDescent="0.3">
      <c r="A199" t="s">
        <v>904</v>
      </c>
      <c r="B199" t="s">
        <v>629</v>
      </c>
      <c r="C199" t="s">
        <v>630</v>
      </c>
      <c r="D199">
        <v>0</v>
      </c>
      <c r="E199" t="s">
        <v>631</v>
      </c>
      <c r="F199" t="s">
        <v>635</v>
      </c>
      <c r="G199">
        <v>5166</v>
      </c>
      <c r="H199">
        <v>0</v>
      </c>
      <c r="I199">
        <v>128</v>
      </c>
      <c r="J199">
        <v>360</v>
      </c>
      <c r="K199">
        <v>1</v>
      </c>
      <c r="L199" t="s">
        <v>646</v>
      </c>
      <c r="M199" t="s">
        <v>633</v>
      </c>
    </row>
    <row r="200" spans="1:13" x14ac:dyDescent="0.3">
      <c r="A200" t="s">
        <v>905</v>
      </c>
      <c r="B200" t="s">
        <v>629</v>
      </c>
      <c r="C200" t="s">
        <v>630</v>
      </c>
      <c r="D200">
        <v>0</v>
      </c>
      <c r="E200" t="s">
        <v>631</v>
      </c>
      <c r="F200" t="s">
        <v>630</v>
      </c>
      <c r="G200">
        <v>4095</v>
      </c>
      <c r="H200">
        <v>3447</v>
      </c>
      <c r="I200">
        <v>151</v>
      </c>
      <c r="J200">
        <v>360</v>
      </c>
      <c r="K200">
        <v>1</v>
      </c>
      <c r="L200" t="s">
        <v>636</v>
      </c>
      <c r="M200" t="s">
        <v>633</v>
      </c>
    </row>
    <row r="201" spans="1:13" x14ac:dyDescent="0.3">
      <c r="A201" t="s">
        <v>906</v>
      </c>
      <c r="B201" t="s">
        <v>629</v>
      </c>
      <c r="C201" t="s">
        <v>635</v>
      </c>
      <c r="D201">
        <v>2</v>
      </c>
      <c r="E201" t="s">
        <v>631</v>
      </c>
      <c r="F201" t="s">
        <v>630</v>
      </c>
      <c r="G201">
        <v>4708</v>
      </c>
      <c r="H201">
        <v>1387</v>
      </c>
      <c r="I201">
        <v>150</v>
      </c>
      <c r="J201">
        <v>360</v>
      </c>
      <c r="K201">
        <v>1</v>
      </c>
      <c r="L201" t="s">
        <v>646</v>
      </c>
      <c r="M201" t="s">
        <v>633</v>
      </c>
    </row>
    <row r="202" spans="1:13" x14ac:dyDescent="0.3">
      <c r="A202" t="s">
        <v>907</v>
      </c>
      <c r="B202" t="s">
        <v>629</v>
      </c>
      <c r="C202" t="s">
        <v>635</v>
      </c>
      <c r="D202" t="s">
        <v>645</v>
      </c>
      <c r="E202" t="s">
        <v>631</v>
      </c>
      <c r="F202" t="s">
        <v>630</v>
      </c>
      <c r="G202">
        <v>4333</v>
      </c>
      <c r="H202">
        <v>1811</v>
      </c>
      <c r="I202">
        <v>160</v>
      </c>
      <c r="J202">
        <v>360</v>
      </c>
      <c r="K202">
        <v>0</v>
      </c>
      <c r="L202" t="s">
        <v>632</v>
      </c>
      <c r="M202" t="s">
        <v>633</v>
      </c>
    </row>
    <row r="203" spans="1:13" x14ac:dyDescent="0.3">
      <c r="A203" t="s">
        <v>909</v>
      </c>
      <c r="B203" t="s">
        <v>657</v>
      </c>
      <c r="C203" t="s">
        <v>630</v>
      </c>
      <c r="D203">
        <v>1</v>
      </c>
      <c r="E203" t="s">
        <v>631</v>
      </c>
      <c r="F203" t="s">
        <v>630</v>
      </c>
      <c r="G203">
        <v>2876</v>
      </c>
      <c r="H203">
        <v>1560</v>
      </c>
      <c r="I203">
        <v>90</v>
      </c>
      <c r="J203">
        <v>360</v>
      </c>
      <c r="K203">
        <v>1</v>
      </c>
      <c r="L203" t="s">
        <v>632</v>
      </c>
      <c r="M203" t="s">
        <v>633</v>
      </c>
    </row>
    <row r="204" spans="1:13" x14ac:dyDescent="0.3">
      <c r="A204" t="s">
        <v>910</v>
      </c>
      <c r="B204" t="s">
        <v>657</v>
      </c>
      <c r="C204" t="s">
        <v>630</v>
      </c>
      <c r="D204">
        <v>0</v>
      </c>
      <c r="E204" t="s">
        <v>631</v>
      </c>
      <c r="F204" t="s">
        <v>630</v>
      </c>
      <c r="G204">
        <v>3237</v>
      </c>
      <c r="H204">
        <v>0</v>
      </c>
      <c r="I204">
        <v>30</v>
      </c>
      <c r="J204">
        <v>360</v>
      </c>
      <c r="K204">
        <v>1</v>
      </c>
      <c r="L204" t="s">
        <v>632</v>
      </c>
      <c r="M204" t="s">
        <v>633</v>
      </c>
    </row>
    <row r="205" spans="1:13" x14ac:dyDescent="0.3">
      <c r="A205" t="s">
        <v>911</v>
      </c>
      <c r="B205" t="s">
        <v>629</v>
      </c>
      <c r="C205" t="s">
        <v>635</v>
      </c>
      <c r="D205">
        <v>0</v>
      </c>
      <c r="E205" t="s">
        <v>631</v>
      </c>
      <c r="F205" t="s">
        <v>630</v>
      </c>
      <c r="G205">
        <v>11146</v>
      </c>
      <c r="H205">
        <v>0</v>
      </c>
      <c r="I205">
        <v>136</v>
      </c>
      <c r="J205">
        <v>360</v>
      </c>
      <c r="K205">
        <v>1</v>
      </c>
      <c r="L205" t="s">
        <v>632</v>
      </c>
      <c r="M205" t="s">
        <v>633</v>
      </c>
    </row>
    <row r="206" spans="1:13" x14ac:dyDescent="0.3">
      <c r="A206" t="s">
        <v>912</v>
      </c>
      <c r="B206" t="s">
        <v>629</v>
      </c>
      <c r="C206" t="s">
        <v>630</v>
      </c>
      <c r="D206">
        <v>0</v>
      </c>
      <c r="E206" t="s">
        <v>631</v>
      </c>
      <c r="F206" t="s">
        <v>630</v>
      </c>
      <c r="G206">
        <v>2833</v>
      </c>
      <c r="H206">
        <v>1857</v>
      </c>
      <c r="I206">
        <v>126</v>
      </c>
      <c r="J206">
        <v>360</v>
      </c>
      <c r="K206">
        <v>1</v>
      </c>
      <c r="L206" t="s">
        <v>636</v>
      </c>
      <c r="M206" t="s">
        <v>633</v>
      </c>
    </row>
    <row r="207" spans="1:13" x14ac:dyDescent="0.3">
      <c r="A207" t="s">
        <v>913</v>
      </c>
      <c r="B207" t="s">
        <v>629</v>
      </c>
      <c r="C207" t="s">
        <v>635</v>
      </c>
      <c r="D207">
        <v>0</v>
      </c>
      <c r="E207" t="s">
        <v>631</v>
      </c>
      <c r="F207" t="s">
        <v>630</v>
      </c>
      <c r="G207">
        <v>2620</v>
      </c>
      <c r="H207">
        <v>2223</v>
      </c>
      <c r="I207">
        <v>150</v>
      </c>
      <c r="J207">
        <v>360</v>
      </c>
      <c r="K207">
        <v>1</v>
      </c>
      <c r="L207" t="s">
        <v>646</v>
      </c>
      <c r="M207" t="s">
        <v>633</v>
      </c>
    </row>
    <row r="208" spans="1:13" x14ac:dyDescent="0.3">
      <c r="A208" t="s">
        <v>914</v>
      </c>
      <c r="B208" t="s">
        <v>629</v>
      </c>
      <c r="C208" t="s">
        <v>635</v>
      </c>
      <c r="D208">
        <v>2</v>
      </c>
      <c r="E208" t="s">
        <v>631</v>
      </c>
      <c r="F208" t="s">
        <v>630</v>
      </c>
      <c r="G208">
        <v>3900</v>
      </c>
      <c r="H208">
        <v>0</v>
      </c>
      <c r="I208">
        <v>90</v>
      </c>
      <c r="J208">
        <v>360</v>
      </c>
      <c r="K208">
        <v>1</v>
      </c>
      <c r="L208" t="s">
        <v>646</v>
      </c>
      <c r="M208" t="s">
        <v>633</v>
      </c>
    </row>
    <row r="209" spans="1:13" x14ac:dyDescent="0.3">
      <c r="A209" t="s">
        <v>915</v>
      </c>
      <c r="B209" t="s">
        <v>629</v>
      </c>
      <c r="C209" t="s">
        <v>635</v>
      </c>
      <c r="D209">
        <v>1</v>
      </c>
      <c r="E209" t="s">
        <v>631</v>
      </c>
      <c r="F209" t="s">
        <v>630</v>
      </c>
      <c r="G209">
        <v>2750</v>
      </c>
      <c r="H209">
        <v>1842</v>
      </c>
      <c r="I209">
        <v>115</v>
      </c>
      <c r="J209">
        <v>360</v>
      </c>
      <c r="K209">
        <v>1</v>
      </c>
      <c r="L209" t="s">
        <v>646</v>
      </c>
      <c r="M209" t="s">
        <v>633</v>
      </c>
    </row>
    <row r="210" spans="1:13" x14ac:dyDescent="0.3">
      <c r="A210" t="s">
        <v>916</v>
      </c>
      <c r="B210" t="s">
        <v>629</v>
      </c>
      <c r="C210" t="s">
        <v>635</v>
      </c>
      <c r="D210">
        <v>0</v>
      </c>
      <c r="E210" t="s">
        <v>631</v>
      </c>
      <c r="F210" t="s">
        <v>630</v>
      </c>
      <c r="G210">
        <v>3993</v>
      </c>
      <c r="H210">
        <v>3274</v>
      </c>
      <c r="I210">
        <v>207</v>
      </c>
      <c r="J210">
        <v>360</v>
      </c>
      <c r="K210">
        <v>1</v>
      </c>
      <c r="L210" t="s">
        <v>646</v>
      </c>
      <c r="M210" t="s">
        <v>633</v>
      </c>
    </row>
    <row r="211" spans="1:13" x14ac:dyDescent="0.3">
      <c r="A211" t="s">
        <v>917</v>
      </c>
      <c r="B211" t="s">
        <v>629</v>
      </c>
      <c r="C211" t="s">
        <v>635</v>
      </c>
      <c r="D211">
        <v>0</v>
      </c>
      <c r="E211" t="s">
        <v>631</v>
      </c>
      <c r="F211" t="s">
        <v>630</v>
      </c>
      <c r="G211">
        <v>3103</v>
      </c>
      <c r="H211">
        <v>1300</v>
      </c>
      <c r="I211">
        <v>80</v>
      </c>
      <c r="J211">
        <v>360</v>
      </c>
      <c r="K211">
        <v>1</v>
      </c>
      <c r="L211" t="s">
        <v>632</v>
      </c>
      <c r="M211" t="s">
        <v>633</v>
      </c>
    </row>
    <row r="212" spans="1:13" x14ac:dyDescent="0.3">
      <c r="A212" t="s">
        <v>918</v>
      </c>
      <c r="B212" t="s">
        <v>629</v>
      </c>
      <c r="C212" t="s">
        <v>635</v>
      </c>
      <c r="D212">
        <v>0</v>
      </c>
      <c r="E212" t="s">
        <v>631</v>
      </c>
      <c r="F212" t="s">
        <v>630</v>
      </c>
      <c r="G212">
        <v>14583</v>
      </c>
      <c r="H212">
        <v>0</v>
      </c>
      <c r="I212">
        <v>436</v>
      </c>
      <c r="J212">
        <v>360</v>
      </c>
      <c r="K212">
        <v>1</v>
      </c>
      <c r="L212" t="s">
        <v>646</v>
      </c>
      <c r="M212" t="s">
        <v>633</v>
      </c>
    </row>
    <row r="213" spans="1:13" x14ac:dyDescent="0.3">
      <c r="A213" t="s">
        <v>920</v>
      </c>
      <c r="B213" t="s">
        <v>629</v>
      </c>
      <c r="C213" t="s">
        <v>630</v>
      </c>
      <c r="D213">
        <v>1</v>
      </c>
      <c r="E213" t="s">
        <v>640</v>
      </c>
      <c r="F213" t="s">
        <v>635</v>
      </c>
      <c r="G213">
        <v>4053</v>
      </c>
      <c r="H213">
        <v>2426</v>
      </c>
      <c r="I213">
        <v>158</v>
      </c>
      <c r="J213">
        <v>360</v>
      </c>
      <c r="K213">
        <v>0</v>
      </c>
      <c r="L213" t="s">
        <v>632</v>
      </c>
      <c r="M213" t="s">
        <v>637</v>
      </c>
    </row>
    <row r="214" spans="1:13" x14ac:dyDescent="0.3">
      <c r="A214" t="s">
        <v>921</v>
      </c>
      <c r="B214" t="s">
        <v>629</v>
      </c>
      <c r="C214" t="s">
        <v>635</v>
      </c>
      <c r="D214">
        <v>0</v>
      </c>
      <c r="E214" t="s">
        <v>631</v>
      </c>
      <c r="F214" t="s">
        <v>630</v>
      </c>
      <c r="G214">
        <v>3927</v>
      </c>
      <c r="H214">
        <v>800</v>
      </c>
      <c r="I214">
        <v>112</v>
      </c>
      <c r="J214">
        <v>360</v>
      </c>
      <c r="K214">
        <v>1</v>
      </c>
      <c r="L214" t="s">
        <v>646</v>
      </c>
      <c r="M214" t="s">
        <v>633</v>
      </c>
    </row>
    <row r="215" spans="1:13" x14ac:dyDescent="0.3">
      <c r="A215" t="s">
        <v>922</v>
      </c>
      <c r="B215" t="s">
        <v>629</v>
      </c>
      <c r="C215" t="s">
        <v>635</v>
      </c>
      <c r="D215">
        <v>2</v>
      </c>
      <c r="E215" t="s">
        <v>631</v>
      </c>
      <c r="F215" t="s">
        <v>630</v>
      </c>
      <c r="G215">
        <v>2301</v>
      </c>
      <c r="H215" s="1">
        <v>9857999878</v>
      </c>
      <c r="I215">
        <v>78</v>
      </c>
      <c r="J215">
        <v>180</v>
      </c>
      <c r="K215">
        <v>1</v>
      </c>
      <c r="L215" t="s">
        <v>632</v>
      </c>
      <c r="M215" t="s">
        <v>633</v>
      </c>
    </row>
    <row r="216" spans="1:13" x14ac:dyDescent="0.3">
      <c r="A216" t="s">
        <v>923</v>
      </c>
      <c r="B216" t="s">
        <v>657</v>
      </c>
      <c r="C216" t="s">
        <v>630</v>
      </c>
      <c r="D216">
        <v>0</v>
      </c>
      <c r="E216" t="s">
        <v>631</v>
      </c>
      <c r="F216" t="s">
        <v>630</v>
      </c>
      <c r="G216">
        <v>1811</v>
      </c>
      <c r="H216">
        <v>1666</v>
      </c>
      <c r="I216">
        <v>54</v>
      </c>
      <c r="J216">
        <v>360</v>
      </c>
      <c r="K216">
        <v>1</v>
      </c>
      <c r="L216" t="s">
        <v>632</v>
      </c>
      <c r="M216" t="s">
        <v>633</v>
      </c>
    </row>
    <row r="217" spans="1:13" x14ac:dyDescent="0.3">
      <c r="A217" t="s">
        <v>925</v>
      </c>
      <c r="B217" t="s">
        <v>629</v>
      </c>
      <c r="C217" t="s">
        <v>630</v>
      </c>
      <c r="D217">
        <v>0</v>
      </c>
      <c r="E217" t="s">
        <v>631</v>
      </c>
      <c r="F217" t="s">
        <v>630</v>
      </c>
      <c r="G217">
        <v>3158</v>
      </c>
      <c r="H217">
        <v>3053</v>
      </c>
      <c r="I217">
        <v>89</v>
      </c>
      <c r="J217">
        <v>360</v>
      </c>
      <c r="K217">
        <v>1</v>
      </c>
      <c r="L217" t="s">
        <v>636</v>
      </c>
      <c r="M217" t="s">
        <v>633</v>
      </c>
    </row>
    <row r="218" spans="1:13" x14ac:dyDescent="0.3">
      <c r="A218" t="s">
        <v>926</v>
      </c>
      <c r="B218" t="s">
        <v>657</v>
      </c>
      <c r="C218" t="s">
        <v>630</v>
      </c>
      <c r="D218">
        <v>0</v>
      </c>
      <c r="E218" t="s">
        <v>631</v>
      </c>
      <c r="F218" t="s">
        <v>635</v>
      </c>
      <c r="G218">
        <v>2600</v>
      </c>
      <c r="H218">
        <v>1717</v>
      </c>
      <c r="I218">
        <v>99</v>
      </c>
      <c r="J218">
        <v>300</v>
      </c>
      <c r="K218">
        <v>1</v>
      </c>
      <c r="L218" t="s">
        <v>646</v>
      </c>
      <c r="M218" t="s">
        <v>637</v>
      </c>
    </row>
    <row r="219" spans="1:13" x14ac:dyDescent="0.3">
      <c r="A219" t="s">
        <v>927</v>
      </c>
      <c r="B219" t="s">
        <v>629</v>
      </c>
      <c r="C219" t="s">
        <v>635</v>
      </c>
      <c r="D219">
        <v>0</v>
      </c>
      <c r="E219" t="s">
        <v>631</v>
      </c>
      <c r="F219" t="s">
        <v>630</v>
      </c>
      <c r="G219">
        <v>3704</v>
      </c>
      <c r="H219">
        <v>2000</v>
      </c>
      <c r="I219">
        <v>120</v>
      </c>
      <c r="J219">
        <v>360</v>
      </c>
      <c r="K219">
        <v>1</v>
      </c>
      <c r="L219" t="s">
        <v>636</v>
      </c>
      <c r="M219" t="s">
        <v>633</v>
      </c>
    </row>
    <row r="220" spans="1:13" x14ac:dyDescent="0.3">
      <c r="A220" t="s">
        <v>928</v>
      </c>
      <c r="B220" t="s">
        <v>657</v>
      </c>
      <c r="C220" t="s">
        <v>630</v>
      </c>
      <c r="D220">
        <v>0</v>
      </c>
      <c r="E220" t="s">
        <v>631</v>
      </c>
      <c r="F220" t="s">
        <v>630</v>
      </c>
      <c r="G220">
        <v>4124</v>
      </c>
      <c r="H220">
        <v>0</v>
      </c>
      <c r="I220">
        <v>115</v>
      </c>
      <c r="J220">
        <v>360</v>
      </c>
      <c r="K220">
        <v>1</v>
      </c>
      <c r="L220" t="s">
        <v>646</v>
      </c>
      <c r="M220" t="s">
        <v>633</v>
      </c>
    </row>
    <row r="221" spans="1:13" x14ac:dyDescent="0.3">
      <c r="A221" t="s">
        <v>929</v>
      </c>
      <c r="B221" t="s">
        <v>629</v>
      </c>
      <c r="C221" t="s">
        <v>630</v>
      </c>
      <c r="D221">
        <v>0</v>
      </c>
      <c r="E221" t="s">
        <v>631</v>
      </c>
      <c r="F221" t="s">
        <v>630</v>
      </c>
      <c r="G221">
        <v>9508</v>
      </c>
      <c r="H221">
        <v>0</v>
      </c>
      <c r="I221">
        <v>187</v>
      </c>
      <c r="J221">
        <v>360</v>
      </c>
      <c r="K221">
        <v>1</v>
      </c>
      <c r="L221" t="s">
        <v>636</v>
      </c>
      <c r="M221" t="s">
        <v>633</v>
      </c>
    </row>
    <row r="222" spans="1:13" x14ac:dyDescent="0.3">
      <c r="A222" t="s">
        <v>930</v>
      </c>
      <c r="B222" t="s">
        <v>629</v>
      </c>
      <c r="C222" t="s">
        <v>635</v>
      </c>
      <c r="D222">
        <v>0</v>
      </c>
      <c r="E222" t="s">
        <v>631</v>
      </c>
      <c r="F222" t="s">
        <v>630</v>
      </c>
      <c r="G222">
        <v>3075</v>
      </c>
      <c r="H222">
        <v>2416</v>
      </c>
      <c r="I222">
        <v>139</v>
      </c>
      <c r="J222">
        <v>360</v>
      </c>
      <c r="K222">
        <v>1</v>
      </c>
      <c r="L222" t="s">
        <v>636</v>
      </c>
      <c r="M222" t="s">
        <v>633</v>
      </c>
    </row>
    <row r="223" spans="1:13" x14ac:dyDescent="0.3">
      <c r="A223" t="s">
        <v>931</v>
      </c>
      <c r="B223" t="s">
        <v>629</v>
      </c>
      <c r="C223" t="s">
        <v>635</v>
      </c>
      <c r="D223">
        <v>2</v>
      </c>
      <c r="E223" t="s">
        <v>631</v>
      </c>
      <c r="F223" t="s">
        <v>630</v>
      </c>
      <c r="G223">
        <v>4400</v>
      </c>
      <c r="H223">
        <v>0</v>
      </c>
      <c r="I223">
        <v>127</v>
      </c>
      <c r="J223">
        <v>360</v>
      </c>
      <c r="K223">
        <v>0</v>
      </c>
      <c r="L223" t="s">
        <v>646</v>
      </c>
      <c r="M223" t="s">
        <v>637</v>
      </c>
    </row>
    <row r="224" spans="1:13" x14ac:dyDescent="0.3">
      <c r="A224" t="s">
        <v>932</v>
      </c>
      <c r="B224" t="s">
        <v>629</v>
      </c>
      <c r="C224" t="s">
        <v>635</v>
      </c>
      <c r="D224">
        <v>2</v>
      </c>
      <c r="E224" t="s">
        <v>631</v>
      </c>
      <c r="F224" t="s">
        <v>630</v>
      </c>
      <c r="G224">
        <v>3153</v>
      </c>
      <c r="H224">
        <v>1560</v>
      </c>
      <c r="I224">
        <v>134</v>
      </c>
      <c r="J224">
        <v>360</v>
      </c>
      <c r="K224">
        <v>1</v>
      </c>
      <c r="L224" t="s">
        <v>632</v>
      </c>
      <c r="M224" t="s">
        <v>633</v>
      </c>
    </row>
    <row r="225" spans="1:13" x14ac:dyDescent="0.3">
      <c r="A225" t="s">
        <v>934</v>
      </c>
      <c r="B225" t="s">
        <v>629</v>
      </c>
      <c r="C225" t="s">
        <v>635</v>
      </c>
      <c r="D225">
        <v>0</v>
      </c>
      <c r="E225" t="s">
        <v>631</v>
      </c>
      <c r="F225" t="s">
        <v>630</v>
      </c>
      <c r="G225">
        <v>2383</v>
      </c>
      <c r="H225">
        <v>3334</v>
      </c>
      <c r="I225">
        <v>172</v>
      </c>
      <c r="J225">
        <v>360</v>
      </c>
      <c r="K225">
        <v>1</v>
      </c>
      <c r="L225" t="s">
        <v>646</v>
      </c>
      <c r="M225" t="s">
        <v>633</v>
      </c>
    </row>
    <row r="226" spans="1:13" x14ac:dyDescent="0.3">
      <c r="A226" t="s">
        <v>936</v>
      </c>
      <c r="B226" t="s">
        <v>629</v>
      </c>
      <c r="C226" t="s">
        <v>635</v>
      </c>
      <c r="D226">
        <v>1</v>
      </c>
      <c r="E226" t="s">
        <v>631</v>
      </c>
      <c r="F226" t="s">
        <v>630</v>
      </c>
      <c r="G226">
        <v>6875</v>
      </c>
      <c r="H226">
        <v>0</v>
      </c>
      <c r="I226">
        <v>200</v>
      </c>
      <c r="J226">
        <v>360</v>
      </c>
      <c r="K226">
        <v>1</v>
      </c>
      <c r="L226" t="s">
        <v>646</v>
      </c>
      <c r="M226" t="s">
        <v>633</v>
      </c>
    </row>
    <row r="227" spans="1:13" x14ac:dyDescent="0.3">
      <c r="A227" t="s">
        <v>937</v>
      </c>
      <c r="B227" t="s">
        <v>657</v>
      </c>
      <c r="C227" t="s">
        <v>635</v>
      </c>
      <c r="D227">
        <v>1</v>
      </c>
      <c r="E227" t="s">
        <v>631</v>
      </c>
      <c r="F227" t="s">
        <v>630</v>
      </c>
      <c r="G227">
        <v>4666</v>
      </c>
      <c r="H227">
        <v>0</v>
      </c>
      <c r="I227">
        <v>135</v>
      </c>
      <c r="J227">
        <v>360</v>
      </c>
      <c r="K227">
        <v>1</v>
      </c>
      <c r="L227" t="s">
        <v>632</v>
      </c>
      <c r="M227" t="s">
        <v>633</v>
      </c>
    </row>
    <row r="228" spans="1:13" x14ac:dyDescent="0.3">
      <c r="A228" t="s">
        <v>938</v>
      </c>
      <c r="B228" t="s">
        <v>657</v>
      </c>
      <c r="C228" t="s">
        <v>630</v>
      </c>
      <c r="D228">
        <v>0</v>
      </c>
      <c r="E228" t="s">
        <v>631</v>
      </c>
      <c r="F228" t="s">
        <v>630</v>
      </c>
      <c r="G228">
        <v>5000</v>
      </c>
      <c r="H228">
        <v>2541</v>
      </c>
      <c r="I228">
        <v>151</v>
      </c>
      <c r="J228">
        <v>480</v>
      </c>
      <c r="K228">
        <v>1</v>
      </c>
      <c r="L228" t="s">
        <v>636</v>
      </c>
      <c r="M228" t="s">
        <v>637</v>
      </c>
    </row>
    <row r="229" spans="1:13" x14ac:dyDescent="0.3">
      <c r="A229" t="s">
        <v>939</v>
      </c>
      <c r="B229" t="s">
        <v>629</v>
      </c>
      <c r="C229" t="s">
        <v>635</v>
      </c>
      <c r="D229">
        <v>1</v>
      </c>
      <c r="E229" t="s">
        <v>631</v>
      </c>
      <c r="F229" t="s">
        <v>630</v>
      </c>
      <c r="G229">
        <v>2014</v>
      </c>
      <c r="H229">
        <v>2925</v>
      </c>
      <c r="I229">
        <v>113</v>
      </c>
      <c r="J229">
        <v>360</v>
      </c>
      <c r="K229">
        <v>1</v>
      </c>
      <c r="L229" t="s">
        <v>632</v>
      </c>
      <c r="M229" t="s">
        <v>637</v>
      </c>
    </row>
    <row r="230" spans="1:13" x14ac:dyDescent="0.3">
      <c r="A230" t="s">
        <v>940</v>
      </c>
      <c r="B230" t="s">
        <v>629</v>
      </c>
      <c r="C230" t="s">
        <v>635</v>
      </c>
      <c r="D230">
        <v>0</v>
      </c>
      <c r="E230" t="s">
        <v>640</v>
      </c>
      <c r="F230" t="s">
        <v>630</v>
      </c>
      <c r="G230">
        <v>1800</v>
      </c>
      <c r="H230">
        <v>2934</v>
      </c>
      <c r="I230">
        <v>93</v>
      </c>
      <c r="J230">
        <v>360</v>
      </c>
      <c r="K230">
        <v>0</v>
      </c>
      <c r="L230" t="s">
        <v>632</v>
      </c>
      <c r="M230" t="s">
        <v>637</v>
      </c>
    </row>
    <row r="231" spans="1:13" x14ac:dyDescent="0.3">
      <c r="A231" t="s">
        <v>942</v>
      </c>
      <c r="B231" t="s">
        <v>657</v>
      </c>
      <c r="C231" t="s">
        <v>630</v>
      </c>
      <c r="D231">
        <v>0</v>
      </c>
      <c r="E231" t="s">
        <v>631</v>
      </c>
      <c r="F231" t="s">
        <v>630</v>
      </c>
      <c r="G231">
        <v>5000</v>
      </c>
      <c r="H231">
        <v>0</v>
      </c>
      <c r="I231">
        <v>132</v>
      </c>
      <c r="J231">
        <v>360</v>
      </c>
      <c r="K231">
        <v>1</v>
      </c>
      <c r="L231" t="s">
        <v>636</v>
      </c>
      <c r="M231" t="s">
        <v>633</v>
      </c>
    </row>
    <row r="232" spans="1:13" x14ac:dyDescent="0.3">
      <c r="A232" t="s">
        <v>943</v>
      </c>
      <c r="B232" t="s">
        <v>629</v>
      </c>
      <c r="C232" t="s">
        <v>635</v>
      </c>
      <c r="D232">
        <v>1</v>
      </c>
      <c r="E232" t="s">
        <v>631</v>
      </c>
      <c r="F232" t="s">
        <v>630</v>
      </c>
      <c r="G232">
        <v>1625</v>
      </c>
      <c r="H232">
        <v>1803</v>
      </c>
      <c r="I232">
        <v>96</v>
      </c>
      <c r="J232">
        <v>360</v>
      </c>
      <c r="K232">
        <v>1</v>
      </c>
      <c r="L232" t="s">
        <v>632</v>
      </c>
      <c r="M232" t="s">
        <v>633</v>
      </c>
    </row>
    <row r="233" spans="1:13" x14ac:dyDescent="0.3">
      <c r="A233" t="s">
        <v>944</v>
      </c>
      <c r="B233" t="s">
        <v>629</v>
      </c>
      <c r="C233" t="s">
        <v>630</v>
      </c>
      <c r="D233">
        <v>0</v>
      </c>
      <c r="E233" t="s">
        <v>631</v>
      </c>
      <c r="F233" t="s">
        <v>630</v>
      </c>
      <c r="G233">
        <v>4000</v>
      </c>
      <c r="H233">
        <v>2500</v>
      </c>
      <c r="I233">
        <v>140</v>
      </c>
      <c r="J233">
        <v>360</v>
      </c>
      <c r="K233">
        <v>1</v>
      </c>
      <c r="L233" t="s">
        <v>636</v>
      </c>
      <c r="M233" t="s">
        <v>633</v>
      </c>
    </row>
    <row r="234" spans="1:13" x14ac:dyDescent="0.3">
      <c r="A234" t="s">
        <v>946</v>
      </c>
      <c r="B234" t="s">
        <v>657</v>
      </c>
      <c r="C234" t="s">
        <v>630</v>
      </c>
      <c r="D234">
        <v>0</v>
      </c>
      <c r="E234" t="s">
        <v>631</v>
      </c>
      <c r="F234" t="s">
        <v>630</v>
      </c>
      <c r="G234">
        <v>3762</v>
      </c>
      <c r="H234">
        <v>1666</v>
      </c>
      <c r="I234">
        <v>135</v>
      </c>
      <c r="J234">
        <v>360</v>
      </c>
      <c r="K234">
        <v>1</v>
      </c>
      <c r="L234" t="s">
        <v>636</v>
      </c>
      <c r="M234" t="s">
        <v>633</v>
      </c>
    </row>
    <row r="235" spans="1:13" x14ac:dyDescent="0.3">
      <c r="A235" t="s">
        <v>947</v>
      </c>
      <c r="B235" t="s">
        <v>657</v>
      </c>
      <c r="C235" t="s">
        <v>630</v>
      </c>
      <c r="D235">
        <v>0</v>
      </c>
      <c r="E235" t="s">
        <v>631</v>
      </c>
      <c r="F235" t="s">
        <v>630</v>
      </c>
      <c r="G235">
        <v>2400</v>
      </c>
      <c r="H235">
        <v>1863</v>
      </c>
      <c r="I235">
        <v>104</v>
      </c>
      <c r="J235">
        <v>360</v>
      </c>
      <c r="K235">
        <v>0</v>
      </c>
      <c r="L235" t="s">
        <v>632</v>
      </c>
      <c r="M235" t="s">
        <v>637</v>
      </c>
    </row>
    <row r="236" spans="1:13" x14ac:dyDescent="0.3">
      <c r="A236" t="s">
        <v>948</v>
      </c>
      <c r="B236" t="s">
        <v>629</v>
      </c>
      <c r="C236" t="s">
        <v>630</v>
      </c>
      <c r="D236">
        <v>0</v>
      </c>
      <c r="E236" t="s">
        <v>631</v>
      </c>
      <c r="F236" t="s">
        <v>630</v>
      </c>
      <c r="G236">
        <v>20233</v>
      </c>
      <c r="H236">
        <v>0</v>
      </c>
      <c r="I236">
        <v>480</v>
      </c>
      <c r="J236">
        <v>360</v>
      </c>
      <c r="K236">
        <v>1</v>
      </c>
      <c r="L236" t="s">
        <v>636</v>
      </c>
      <c r="M236" t="s">
        <v>637</v>
      </c>
    </row>
    <row r="237" spans="1:13" x14ac:dyDescent="0.3">
      <c r="A237" t="s">
        <v>950</v>
      </c>
      <c r="B237" t="s">
        <v>657</v>
      </c>
      <c r="C237" t="s">
        <v>630</v>
      </c>
      <c r="D237">
        <v>0</v>
      </c>
      <c r="E237" t="s">
        <v>631</v>
      </c>
      <c r="F237" t="s">
        <v>630</v>
      </c>
      <c r="G237">
        <v>2917</v>
      </c>
      <c r="H237">
        <v>0</v>
      </c>
      <c r="I237">
        <v>84</v>
      </c>
      <c r="J237">
        <v>360</v>
      </c>
      <c r="K237">
        <v>1</v>
      </c>
      <c r="L237" t="s">
        <v>646</v>
      </c>
      <c r="M237" t="s">
        <v>633</v>
      </c>
    </row>
    <row r="238" spans="1:13" x14ac:dyDescent="0.3">
      <c r="A238" t="s">
        <v>951</v>
      </c>
      <c r="B238" t="s">
        <v>629</v>
      </c>
      <c r="C238" t="s">
        <v>630</v>
      </c>
      <c r="D238">
        <v>0</v>
      </c>
      <c r="E238" t="s">
        <v>640</v>
      </c>
      <c r="F238" t="s">
        <v>630</v>
      </c>
      <c r="G238">
        <v>2927</v>
      </c>
      <c r="H238">
        <v>2405</v>
      </c>
      <c r="I238">
        <v>111</v>
      </c>
      <c r="J238">
        <v>360</v>
      </c>
      <c r="K238">
        <v>1</v>
      </c>
      <c r="L238" t="s">
        <v>646</v>
      </c>
      <c r="M238" t="s">
        <v>633</v>
      </c>
    </row>
    <row r="239" spans="1:13" x14ac:dyDescent="0.3">
      <c r="A239" t="s">
        <v>952</v>
      </c>
      <c r="B239" t="s">
        <v>657</v>
      </c>
      <c r="C239" t="s">
        <v>630</v>
      </c>
      <c r="D239">
        <v>0</v>
      </c>
      <c r="E239" t="s">
        <v>631</v>
      </c>
      <c r="F239" t="s">
        <v>630</v>
      </c>
      <c r="G239">
        <v>2507</v>
      </c>
      <c r="H239">
        <v>0</v>
      </c>
      <c r="I239">
        <v>56</v>
      </c>
      <c r="J239">
        <v>360</v>
      </c>
      <c r="K239">
        <v>1</v>
      </c>
      <c r="L239" t="s">
        <v>636</v>
      </c>
      <c r="M239" t="s">
        <v>633</v>
      </c>
    </row>
    <row r="240" spans="1:13" x14ac:dyDescent="0.3">
      <c r="A240" t="s">
        <v>955</v>
      </c>
      <c r="B240" t="s">
        <v>629</v>
      </c>
      <c r="C240" t="s">
        <v>635</v>
      </c>
      <c r="D240">
        <v>1</v>
      </c>
      <c r="E240" t="s">
        <v>640</v>
      </c>
      <c r="F240" t="s">
        <v>630</v>
      </c>
      <c r="G240">
        <v>3399</v>
      </c>
      <c r="H240">
        <v>1640</v>
      </c>
      <c r="I240">
        <v>111</v>
      </c>
      <c r="J240">
        <v>180</v>
      </c>
      <c r="K240">
        <v>1</v>
      </c>
      <c r="L240" t="s">
        <v>632</v>
      </c>
      <c r="M240" t="s">
        <v>633</v>
      </c>
    </row>
    <row r="241" spans="1:13" x14ac:dyDescent="0.3">
      <c r="A241" t="s">
        <v>956</v>
      </c>
      <c r="B241" t="s">
        <v>629</v>
      </c>
      <c r="C241" t="s">
        <v>635</v>
      </c>
      <c r="D241">
        <v>2</v>
      </c>
      <c r="E241" t="s">
        <v>631</v>
      </c>
      <c r="F241" t="s">
        <v>630</v>
      </c>
      <c r="G241">
        <v>3717</v>
      </c>
      <c r="H241">
        <v>0</v>
      </c>
      <c r="I241">
        <v>120</v>
      </c>
      <c r="J241">
        <v>360</v>
      </c>
      <c r="K241">
        <v>1</v>
      </c>
      <c r="L241" t="s">
        <v>646</v>
      </c>
      <c r="M241" t="s">
        <v>633</v>
      </c>
    </row>
    <row r="242" spans="1:13" x14ac:dyDescent="0.3">
      <c r="A242" t="s">
        <v>959</v>
      </c>
      <c r="B242" t="s">
        <v>629</v>
      </c>
      <c r="C242" t="s">
        <v>635</v>
      </c>
      <c r="D242">
        <v>1</v>
      </c>
      <c r="E242" t="s">
        <v>631</v>
      </c>
      <c r="F242" t="s">
        <v>635</v>
      </c>
      <c r="G242">
        <v>10000</v>
      </c>
      <c r="H242">
        <v>0</v>
      </c>
      <c r="I242">
        <v>155</v>
      </c>
      <c r="J242">
        <v>360</v>
      </c>
      <c r="K242">
        <v>1</v>
      </c>
      <c r="L242" t="s">
        <v>636</v>
      </c>
      <c r="M242" t="s">
        <v>637</v>
      </c>
    </row>
    <row r="243" spans="1:13" x14ac:dyDescent="0.3">
      <c r="A243" t="s">
        <v>960</v>
      </c>
      <c r="B243" t="s">
        <v>629</v>
      </c>
      <c r="C243" t="s">
        <v>635</v>
      </c>
      <c r="D243">
        <v>0</v>
      </c>
      <c r="E243" t="s">
        <v>631</v>
      </c>
      <c r="F243" t="s">
        <v>630</v>
      </c>
      <c r="G243">
        <v>2400</v>
      </c>
      <c r="H243">
        <v>2167</v>
      </c>
      <c r="I243">
        <v>115</v>
      </c>
      <c r="J243">
        <v>360</v>
      </c>
      <c r="K243">
        <v>1</v>
      </c>
      <c r="L243" t="s">
        <v>646</v>
      </c>
      <c r="M243" t="s">
        <v>633</v>
      </c>
    </row>
    <row r="244" spans="1:13" x14ac:dyDescent="0.3">
      <c r="A244" t="s">
        <v>961</v>
      </c>
      <c r="B244" t="s">
        <v>629</v>
      </c>
      <c r="C244" t="s">
        <v>635</v>
      </c>
      <c r="D244" t="s">
        <v>645</v>
      </c>
      <c r="E244" t="s">
        <v>631</v>
      </c>
      <c r="F244" t="s">
        <v>630</v>
      </c>
      <c r="G244">
        <v>4342</v>
      </c>
      <c r="H244">
        <v>189</v>
      </c>
      <c r="I244">
        <v>124</v>
      </c>
      <c r="J244">
        <v>360</v>
      </c>
      <c r="K244">
        <v>1</v>
      </c>
      <c r="L244" t="s">
        <v>646</v>
      </c>
      <c r="M244" t="s">
        <v>633</v>
      </c>
    </row>
    <row r="245" spans="1:13" x14ac:dyDescent="0.3">
      <c r="A245" t="s">
        <v>964</v>
      </c>
      <c r="B245" t="s">
        <v>629</v>
      </c>
      <c r="C245" t="s">
        <v>635</v>
      </c>
      <c r="D245" t="s">
        <v>645</v>
      </c>
      <c r="E245" t="s">
        <v>631</v>
      </c>
      <c r="F245" t="s">
        <v>630</v>
      </c>
      <c r="G245">
        <v>15000</v>
      </c>
      <c r="H245">
        <v>0</v>
      </c>
      <c r="I245">
        <v>300</v>
      </c>
      <c r="J245">
        <v>360</v>
      </c>
      <c r="K245">
        <v>1</v>
      </c>
      <c r="L245" t="s">
        <v>636</v>
      </c>
      <c r="M245" t="s">
        <v>633</v>
      </c>
    </row>
    <row r="246" spans="1:13" x14ac:dyDescent="0.3">
      <c r="A246" t="s">
        <v>965</v>
      </c>
      <c r="B246" t="s">
        <v>629</v>
      </c>
      <c r="C246" t="s">
        <v>635</v>
      </c>
      <c r="D246">
        <v>1</v>
      </c>
      <c r="E246" t="s">
        <v>631</v>
      </c>
      <c r="F246" t="s">
        <v>635</v>
      </c>
      <c r="G246">
        <v>8666</v>
      </c>
      <c r="H246">
        <v>4983</v>
      </c>
      <c r="I246">
        <v>376</v>
      </c>
      <c r="J246">
        <v>360</v>
      </c>
      <c r="K246">
        <v>0</v>
      </c>
      <c r="L246" t="s">
        <v>636</v>
      </c>
      <c r="M246" t="s">
        <v>637</v>
      </c>
    </row>
    <row r="247" spans="1:13" x14ac:dyDescent="0.3">
      <c r="A247" t="s">
        <v>966</v>
      </c>
      <c r="B247" t="s">
        <v>629</v>
      </c>
      <c r="C247" t="s">
        <v>630</v>
      </c>
      <c r="D247">
        <v>0</v>
      </c>
      <c r="E247" t="s">
        <v>631</v>
      </c>
      <c r="F247" t="s">
        <v>630</v>
      </c>
      <c r="G247">
        <v>4917</v>
      </c>
      <c r="H247">
        <v>0</v>
      </c>
      <c r="I247">
        <v>130</v>
      </c>
      <c r="J247">
        <v>360</v>
      </c>
      <c r="K247">
        <v>0</v>
      </c>
      <c r="L247" t="s">
        <v>636</v>
      </c>
      <c r="M247" t="s">
        <v>633</v>
      </c>
    </row>
    <row r="248" spans="1:13" x14ac:dyDescent="0.3">
      <c r="A248" t="s">
        <v>967</v>
      </c>
      <c r="B248" t="s">
        <v>629</v>
      </c>
      <c r="C248" t="s">
        <v>635</v>
      </c>
      <c r="D248">
        <v>0</v>
      </c>
      <c r="E248" t="s">
        <v>631</v>
      </c>
      <c r="F248" t="s">
        <v>635</v>
      </c>
      <c r="G248">
        <v>5818</v>
      </c>
      <c r="H248">
        <v>2160</v>
      </c>
      <c r="I248">
        <v>184</v>
      </c>
      <c r="J248">
        <v>360</v>
      </c>
      <c r="K248">
        <v>1</v>
      </c>
      <c r="L248" t="s">
        <v>646</v>
      </c>
      <c r="M248" t="s">
        <v>633</v>
      </c>
    </row>
    <row r="249" spans="1:13" x14ac:dyDescent="0.3">
      <c r="A249" t="s">
        <v>968</v>
      </c>
      <c r="B249" t="s">
        <v>657</v>
      </c>
      <c r="C249" t="s">
        <v>635</v>
      </c>
      <c r="D249">
        <v>0</v>
      </c>
      <c r="E249" t="s">
        <v>631</v>
      </c>
      <c r="F249" t="s">
        <v>630</v>
      </c>
      <c r="G249">
        <v>4333</v>
      </c>
      <c r="H249">
        <v>2451</v>
      </c>
      <c r="I249">
        <v>110</v>
      </c>
      <c r="J249">
        <v>360</v>
      </c>
      <c r="K249">
        <v>1</v>
      </c>
      <c r="L249" t="s">
        <v>632</v>
      </c>
      <c r="M249" t="s">
        <v>637</v>
      </c>
    </row>
    <row r="250" spans="1:13" x14ac:dyDescent="0.3">
      <c r="A250" t="s">
        <v>969</v>
      </c>
      <c r="B250" t="s">
        <v>657</v>
      </c>
      <c r="C250" t="s">
        <v>630</v>
      </c>
      <c r="D250">
        <v>0</v>
      </c>
      <c r="E250" t="s">
        <v>631</v>
      </c>
      <c r="F250" t="s">
        <v>630</v>
      </c>
      <c r="G250">
        <v>2500</v>
      </c>
      <c r="H250">
        <v>0</v>
      </c>
      <c r="I250">
        <v>67</v>
      </c>
      <c r="J250">
        <v>360</v>
      </c>
      <c r="K250">
        <v>1</v>
      </c>
      <c r="L250" t="s">
        <v>632</v>
      </c>
      <c r="M250" t="s">
        <v>633</v>
      </c>
    </row>
    <row r="251" spans="1:13" x14ac:dyDescent="0.3">
      <c r="A251" t="s">
        <v>970</v>
      </c>
      <c r="B251" t="s">
        <v>629</v>
      </c>
      <c r="C251" t="s">
        <v>630</v>
      </c>
      <c r="D251">
        <v>1</v>
      </c>
      <c r="E251" t="s">
        <v>631</v>
      </c>
      <c r="F251" t="s">
        <v>630</v>
      </c>
      <c r="G251">
        <v>4384</v>
      </c>
      <c r="H251">
        <v>1793</v>
      </c>
      <c r="I251">
        <v>117</v>
      </c>
      <c r="J251">
        <v>360</v>
      </c>
      <c r="K251">
        <v>1</v>
      </c>
      <c r="L251" t="s">
        <v>632</v>
      </c>
      <c r="M251" t="s">
        <v>633</v>
      </c>
    </row>
    <row r="252" spans="1:13" x14ac:dyDescent="0.3">
      <c r="A252" t="s">
        <v>971</v>
      </c>
      <c r="B252" t="s">
        <v>629</v>
      </c>
      <c r="C252" t="s">
        <v>630</v>
      </c>
      <c r="D252">
        <v>0</v>
      </c>
      <c r="E252" t="s">
        <v>631</v>
      </c>
      <c r="F252" t="s">
        <v>630</v>
      </c>
      <c r="G252">
        <v>2935</v>
      </c>
      <c r="H252">
        <v>0</v>
      </c>
      <c r="I252">
        <v>98</v>
      </c>
      <c r="J252">
        <v>360</v>
      </c>
      <c r="K252">
        <v>1</v>
      </c>
      <c r="L252" t="s">
        <v>646</v>
      </c>
      <c r="M252" t="s">
        <v>633</v>
      </c>
    </row>
    <row r="253" spans="1:13" x14ac:dyDescent="0.3">
      <c r="A253" t="s">
        <v>977</v>
      </c>
      <c r="B253" t="s">
        <v>629</v>
      </c>
      <c r="C253" t="s">
        <v>635</v>
      </c>
      <c r="D253">
        <v>2</v>
      </c>
      <c r="E253" t="s">
        <v>631</v>
      </c>
      <c r="F253" t="s">
        <v>635</v>
      </c>
      <c r="G253">
        <v>2500</v>
      </c>
      <c r="H253">
        <v>4600</v>
      </c>
      <c r="I253">
        <v>176</v>
      </c>
      <c r="J253">
        <v>360</v>
      </c>
      <c r="K253">
        <v>1</v>
      </c>
      <c r="L253" t="s">
        <v>636</v>
      </c>
      <c r="M253" t="s">
        <v>633</v>
      </c>
    </row>
    <row r="254" spans="1:13" x14ac:dyDescent="0.3">
      <c r="A254" t="s">
        <v>979</v>
      </c>
      <c r="B254" t="s">
        <v>657</v>
      </c>
      <c r="C254" t="s">
        <v>630</v>
      </c>
      <c r="D254">
        <v>0</v>
      </c>
      <c r="E254" t="s">
        <v>631</v>
      </c>
      <c r="F254" t="s">
        <v>630</v>
      </c>
      <c r="G254">
        <v>4160</v>
      </c>
      <c r="H254">
        <v>0</v>
      </c>
      <c r="I254">
        <v>71</v>
      </c>
      <c r="J254">
        <v>360</v>
      </c>
      <c r="K254">
        <v>1</v>
      </c>
      <c r="L254" t="s">
        <v>646</v>
      </c>
      <c r="M254" t="s">
        <v>633</v>
      </c>
    </row>
    <row r="255" spans="1:13" x14ac:dyDescent="0.3">
      <c r="A255" t="s">
        <v>980</v>
      </c>
      <c r="B255" t="s">
        <v>629</v>
      </c>
      <c r="C255" t="s">
        <v>635</v>
      </c>
      <c r="D255" t="s">
        <v>645</v>
      </c>
      <c r="E255" t="s">
        <v>640</v>
      </c>
      <c r="F255" t="s">
        <v>630</v>
      </c>
      <c r="G255">
        <v>2647</v>
      </c>
      <c r="H255">
        <v>1587</v>
      </c>
      <c r="I255">
        <v>173</v>
      </c>
      <c r="J255">
        <v>360</v>
      </c>
      <c r="K255">
        <v>1</v>
      </c>
      <c r="L255" t="s">
        <v>636</v>
      </c>
      <c r="M255" t="s">
        <v>637</v>
      </c>
    </row>
    <row r="256" spans="1:13" x14ac:dyDescent="0.3">
      <c r="A256" t="s">
        <v>981</v>
      </c>
      <c r="B256" t="s">
        <v>657</v>
      </c>
      <c r="C256" t="s">
        <v>630</v>
      </c>
      <c r="D256">
        <v>0</v>
      </c>
      <c r="E256" t="s">
        <v>631</v>
      </c>
      <c r="F256" t="s">
        <v>630</v>
      </c>
      <c r="G256">
        <v>2378</v>
      </c>
      <c r="H256">
        <v>0</v>
      </c>
      <c r="I256">
        <v>46</v>
      </c>
      <c r="J256">
        <v>360</v>
      </c>
      <c r="K256">
        <v>1</v>
      </c>
      <c r="L256" t="s">
        <v>636</v>
      </c>
      <c r="M256" t="s">
        <v>637</v>
      </c>
    </row>
    <row r="257" spans="1:13" x14ac:dyDescent="0.3">
      <c r="A257" t="s">
        <v>982</v>
      </c>
      <c r="B257" t="s">
        <v>629</v>
      </c>
      <c r="C257" t="s">
        <v>635</v>
      </c>
      <c r="D257">
        <v>1</v>
      </c>
      <c r="E257" t="s">
        <v>640</v>
      </c>
      <c r="F257" t="s">
        <v>630</v>
      </c>
      <c r="G257">
        <v>4554</v>
      </c>
      <c r="H257">
        <v>1229</v>
      </c>
      <c r="I257">
        <v>158</v>
      </c>
      <c r="J257">
        <v>360</v>
      </c>
      <c r="K257">
        <v>1</v>
      </c>
      <c r="L257" t="s">
        <v>632</v>
      </c>
      <c r="M257" t="s">
        <v>633</v>
      </c>
    </row>
    <row r="258" spans="1:13" x14ac:dyDescent="0.3">
      <c r="A258" t="s">
        <v>983</v>
      </c>
      <c r="B258" t="s">
        <v>629</v>
      </c>
      <c r="C258" t="s">
        <v>635</v>
      </c>
      <c r="D258" t="s">
        <v>645</v>
      </c>
      <c r="E258" t="s">
        <v>640</v>
      </c>
      <c r="F258" t="s">
        <v>630</v>
      </c>
      <c r="G258">
        <v>3173</v>
      </c>
      <c r="H258">
        <v>0</v>
      </c>
      <c r="I258">
        <v>74</v>
      </c>
      <c r="J258">
        <v>360</v>
      </c>
      <c r="K258">
        <v>1</v>
      </c>
      <c r="L258" t="s">
        <v>646</v>
      </c>
      <c r="M258" t="s">
        <v>633</v>
      </c>
    </row>
    <row r="259" spans="1:13" x14ac:dyDescent="0.3">
      <c r="A259" t="s">
        <v>985</v>
      </c>
      <c r="B259" t="s">
        <v>629</v>
      </c>
      <c r="C259" t="s">
        <v>635</v>
      </c>
      <c r="D259">
        <v>0</v>
      </c>
      <c r="E259" t="s">
        <v>631</v>
      </c>
      <c r="F259" t="s">
        <v>630</v>
      </c>
      <c r="G259">
        <v>2499</v>
      </c>
      <c r="H259">
        <v>2458</v>
      </c>
      <c r="I259">
        <v>160</v>
      </c>
      <c r="J259">
        <v>360</v>
      </c>
      <c r="K259">
        <v>1</v>
      </c>
      <c r="L259" t="s">
        <v>646</v>
      </c>
      <c r="M259" t="s">
        <v>633</v>
      </c>
    </row>
    <row r="260" spans="1:13" x14ac:dyDescent="0.3">
      <c r="A260" t="s">
        <v>987</v>
      </c>
      <c r="B260" t="s">
        <v>629</v>
      </c>
      <c r="C260" t="s">
        <v>635</v>
      </c>
      <c r="D260">
        <v>2</v>
      </c>
      <c r="E260" t="s">
        <v>640</v>
      </c>
      <c r="F260" t="s">
        <v>630</v>
      </c>
      <c r="G260">
        <v>3083</v>
      </c>
      <c r="H260">
        <v>2168</v>
      </c>
      <c r="I260">
        <v>126</v>
      </c>
      <c r="J260">
        <v>360</v>
      </c>
      <c r="K260">
        <v>1</v>
      </c>
      <c r="L260" t="s">
        <v>632</v>
      </c>
      <c r="M260" t="s">
        <v>633</v>
      </c>
    </row>
    <row r="261" spans="1:13" x14ac:dyDescent="0.3">
      <c r="A261" t="s">
        <v>989</v>
      </c>
      <c r="B261" t="s">
        <v>629</v>
      </c>
      <c r="C261" t="s">
        <v>635</v>
      </c>
      <c r="D261">
        <v>0</v>
      </c>
      <c r="E261" t="s">
        <v>631</v>
      </c>
      <c r="F261" t="s">
        <v>630</v>
      </c>
      <c r="G261">
        <v>2625</v>
      </c>
      <c r="H261">
        <v>6250</v>
      </c>
      <c r="I261">
        <v>187</v>
      </c>
      <c r="J261">
        <v>360</v>
      </c>
      <c r="K261">
        <v>1</v>
      </c>
      <c r="L261" t="s">
        <v>636</v>
      </c>
      <c r="M261" t="s">
        <v>633</v>
      </c>
    </row>
    <row r="262" spans="1:13" x14ac:dyDescent="0.3">
      <c r="A262" t="s">
        <v>990</v>
      </c>
      <c r="B262" t="s">
        <v>629</v>
      </c>
      <c r="C262" t="s">
        <v>635</v>
      </c>
      <c r="D262">
        <v>0</v>
      </c>
      <c r="E262" t="s">
        <v>631</v>
      </c>
      <c r="F262" t="s">
        <v>630</v>
      </c>
      <c r="G262">
        <v>9083</v>
      </c>
      <c r="H262">
        <v>0</v>
      </c>
      <c r="I262">
        <v>228</v>
      </c>
      <c r="J262">
        <v>360</v>
      </c>
      <c r="K262">
        <v>1</v>
      </c>
      <c r="L262" t="s">
        <v>646</v>
      </c>
      <c r="M262" t="s">
        <v>633</v>
      </c>
    </row>
    <row r="263" spans="1:13" x14ac:dyDescent="0.3">
      <c r="A263" t="s">
        <v>991</v>
      </c>
      <c r="B263" t="s">
        <v>629</v>
      </c>
      <c r="C263" t="s">
        <v>630</v>
      </c>
      <c r="D263">
        <v>0</v>
      </c>
      <c r="E263" t="s">
        <v>631</v>
      </c>
      <c r="F263" t="s">
        <v>630</v>
      </c>
      <c r="G263">
        <v>8750</v>
      </c>
      <c r="H263">
        <v>4167</v>
      </c>
      <c r="I263">
        <v>308</v>
      </c>
      <c r="J263">
        <v>360</v>
      </c>
      <c r="K263">
        <v>1</v>
      </c>
      <c r="L263" t="s">
        <v>636</v>
      </c>
      <c r="M263" t="s">
        <v>637</v>
      </c>
    </row>
    <row r="264" spans="1:13" x14ac:dyDescent="0.3">
      <c r="A264" t="s">
        <v>992</v>
      </c>
      <c r="B264" t="s">
        <v>629</v>
      </c>
      <c r="C264" t="s">
        <v>635</v>
      </c>
      <c r="D264" t="s">
        <v>645</v>
      </c>
      <c r="E264" t="s">
        <v>631</v>
      </c>
      <c r="F264" t="s">
        <v>630</v>
      </c>
      <c r="G264">
        <v>2666</v>
      </c>
      <c r="H264">
        <v>2083</v>
      </c>
      <c r="I264">
        <v>95</v>
      </c>
      <c r="J264">
        <v>360</v>
      </c>
      <c r="K264">
        <v>1</v>
      </c>
      <c r="L264" t="s">
        <v>636</v>
      </c>
      <c r="M264" t="s">
        <v>633</v>
      </c>
    </row>
    <row r="265" spans="1:13" x14ac:dyDescent="0.3">
      <c r="A265" t="s">
        <v>993</v>
      </c>
      <c r="B265" t="s">
        <v>657</v>
      </c>
      <c r="C265" t="s">
        <v>635</v>
      </c>
      <c r="D265">
        <v>0</v>
      </c>
      <c r="E265" t="s">
        <v>631</v>
      </c>
      <c r="F265" t="s">
        <v>635</v>
      </c>
      <c r="G265">
        <v>5500</v>
      </c>
      <c r="H265">
        <v>0</v>
      </c>
      <c r="I265">
        <v>105</v>
      </c>
      <c r="J265">
        <v>360</v>
      </c>
      <c r="K265">
        <v>0</v>
      </c>
      <c r="L265" t="s">
        <v>636</v>
      </c>
      <c r="M265" t="s">
        <v>637</v>
      </c>
    </row>
    <row r="266" spans="1:13" x14ac:dyDescent="0.3">
      <c r="A266" t="s">
        <v>994</v>
      </c>
      <c r="B266" t="s">
        <v>657</v>
      </c>
      <c r="C266" t="s">
        <v>635</v>
      </c>
      <c r="D266">
        <v>0</v>
      </c>
      <c r="E266" t="s">
        <v>631</v>
      </c>
      <c r="F266" t="s">
        <v>630</v>
      </c>
      <c r="G266">
        <v>2423</v>
      </c>
      <c r="H266">
        <v>505</v>
      </c>
      <c r="I266">
        <v>130</v>
      </c>
      <c r="J266">
        <v>360</v>
      </c>
      <c r="K266">
        <v>1</v>
      </c>
      <c r="L266" t="s">
        <v>646</v>
      </c>
      <c r="M266" t="s">
        <v>633</v>
      </c>
    </row>
    <row r="267" spans="1:13" x14ac:dyDescent="0.3">
      <c r="A267" t="s">
        <v>996</v>
      </c>
      <c r="B267" t="s">
        <v>629</v>
      </c>
      <c r="C267" t="s">
        <v>635</v>
      </c>
      <c r="D267">
        <v>2</v>
      </c>
      <c r="E267" t="s">
        <v>631</v>
      </c>
      <c r="F267" t="s">
        <v>630</v>
      </c>
      <c r="G267">
        <v>8333</v>
      </c>
      <c r="H267">
        <v>3167</v>
      </c>
      <c r="I267">
        <v>165</v>
      </c>
      <c r="J267">
        <v>360</v>
      </c>
      <c r="K267">
        <v>1</v>
      </c>
      <c r="L267" t="s">
        <v>636</v>
      </c>
      <c r="M267" t="s">
        <v>633</v>
      </c>
    </row>
    <row r="268" spans="1:13" x14ac:dyDescent="0.3">
      <c r="A268" t="s">
        <v>997</v>
      </c>
      <c r="B268" t="s">
        <v>629</v>
      </c>
      <c r="C268" t="s">
        <v>635</v>
      </c>
      <c r="D268">
        <v>1</v>
      </c>
      <c r="E268" t="s">
        <v>631</v>
      </c>
      <c r="F268" t="s">
        <v>630</v>
      </c>
      <c r="G268">
        <v>3875</v>
      </c>
      <c r="H268">
        <v>0</v>
      </c>
      <c r="I268">
        <v>67</v>
      </c>
      <c r="J268">
        <v>360</v>
      </c>
      <c r="K268">
        <v>1</v>
      </c>
      <c r="L268" t="s">
        <v>632</v>
      </c>
      <c r="M268" t="s">
        <v>637</v>
      </c>
    </row>
    <row r="269" spans="1:13" x14ac:dyDescent="0.3">
      <c r="A269" t="s">
        <v>998</v>
      </c>
      <c r="B269" t="s">
        <v>629</v>
      </c>
      <c r="C269" t="s">
        <v>635</v>
      </c>
      <c r="D269">
        <v>0</v>
      </c>
      <c r="E269" t="s">
        <v>640</v>
      </c>
      <c r="F269" t="s">
        <v>630</v>
      </c>
      <c r="G269">
        <v>3000</v>
      </c>
      <c r="H269">
        <v>1666</v>
      </c>
      <c r="I269">
        <v>100</v>
      </c>
      <c r="J269">
        <v>480</v>
      </c>
      <c r="K269">
        <v>0</v>
      </c>
      <c r="L269" t="s">
        <v>632</v>
      </c>
      <c r="M269" t="s">
        <v>637</v>
      </c>
    </row>
    <row r="270" spans="1:13" x14ac:dyDescent="0.3">
      <c r="A270" t="s">
        <v>999</v>
      </c>
      <c r="B270" t="s">
        <v>629</v>
      </c>
      <c r="C270" t="s">
        <v>635</v>
      </c>
      <c r="D270" t="s">
        <v>645</v>
      </c>
      <c r="E270" t="s">
        <v>631</v>
      </c>
      <c r="F270" t="s">
        <v>630</v>
      </c>
      <c r="G270">
        <v>5167</v>
      </c>
      <c r="H270">
        <v>3167</v>
      </c>
      <c r="I270">
        <v>200</v>
      </c>
      <c r="J270">
        <v>360</v>
      </c>
      <c r="K270">
        <v>1</v>
      </c>
      <c r="L270" t="s">
        <v>646</v>
      </c>
      <c r="M270" t="s">
        <v>633</v>
      </c>
    </row>
    <row r="271" spans="1:13" x14ac:dyDescent="0.3">
      <c r="A271" t="s">
        <v>1000</v>
      </c>
      <c r="B271" t="s">
        <v>657</v>
      </c>
      <c r="C271" t="s">
        <v>630</v>
      </c>
      <c r="D271">
        <v>1</v>
      </c>
      <c r="E271" t="s">
        <v>631</v>
      </c>
      <c r="F271" t="s">
        <v>630</v>
      </c>
      <c r="G271">
        <v>4723</v>
      </c>
      <c r="H271">
        <v>0</v>
      </c>
      <c r="I271">
        <v>81</v>
      </c>
      <c r="J271">
        <v>360</v>
      </c>
      <c r="K271">
        <v>1</v>
      </c>
      <c r="L271" t="s">
        <v>646</v>
      </c>
      <c r="M271" t="s">
        <v>637</v>
      </c>
    </row>
    <row r="272" spans="1:13" x14ac:dyDescent="0.3">
      <c r="A272" t="s">
        <v>1001</v>
      </c>
      <c r="B272" t="s">
        <v>629</v>
      </c>
      <c r="C272" t="s">
        <v>635</v>
      </c>
      <c r="D272">
        <v>2</v>
      </c>
      <c r="E272" t="s">
        <v>631</v>
      </c>
      <c r="F272" t="s">
        <v>630</v>
      </c>
      <c r="G272">
        <v>5000</v>
      </c>
      <c r="H272">
        <v>3667</v>
      </c>
      <c r="I272">
        <v>236</v>
      </c>
      <c r="J272">
        <v>360</v>
      </c>
      <c r="K272">
        <v>1</v>
      </c>
      <c r="L272" t="s">
        <v>646</v>
      </c>
      <c r="M272" t="s">
        <v>633</v>
      </c>
    </row>
    <row r="273" spans="1:13" x14ac:dyDescent="0.3">
      <c r="A273" t="s">
        <v>1002</v>
      </c>
      <c r="B273" t="s">
        <v>629</v>
      </c>
      <c r="C273" t="s">
        <v>635</v>
      </c>
      <c r="D273">
        <v>0</v>
      </c>
      <c r="E273" t="s">
        <v>631</v>
      </c>
      <c r="F273" t="s">
        <v>630</v>
      </c>
      <c r="G273">
        <v>4750</v>
      </c>
      <c r="H273">
        <v>2333</v>
      </c>
      <c r="I273">
        <v>130</v>
      </c>
      <c r="J273">
        <v>360</v>
      </c>
      <c r="K273">
        <v>1</v>
      </c>
      <c r="L273" t="s">
        <v>632</v>
      </c>
      <c r="M273" t="s">
        <v>633</v>
      </c>
    </row>
    <row r="274" spans="1:13" x14ac:dyDescent="0.3">
      <c r="A274" t="s">
        <v>1004</v>
      </c>
      <c r="B274" t="s">
        <v>629</v>
      </c>
      <c r="C274" t="s">
        <v>630</v>
      </c>
      <c r="D274">
        <v>0</v>
      </c>
      <c r="E274" t="s">
        <v>631</v>
      </c>
      <c r="F274" t="s">
        <v>635</v>
      </c>
      <c r="G274">
        <v>6822</v>
      </c>
      <c r="H274">
        <v>0</v>
      </c>
      <c r="I274">
        <v>141</v>
      </c>
      <c r="J274">
        <v>360</v>
      </c>
      <c r="K274">
        <v>1</v>
      </c>
      <c r="L274" t="s">
        <v>636</v>
      </c>
      <c r="M274" t="s">
        <v>633</v>
      </c>
    </row>
    <row r="275" spans="1:13" x14ac:dyDescent="0.3">
      <c r="A275" t="s">
        <v>1005</v>
      </c>
      <c r="B275" t="s">
        <v>629</v>
      </c>
      <c r="C275" t="s">
        <v>630</v>
      </c>
      <c r="D275">
        <v>0</v>
      </c>
      <c r="E275" t="s">
        <v>640</v>
      </c>
      <c r="F275" t="s">
        <v>630</v>
      </c>
      <c r="G275">
        <v>6216</v>
      </c>
      <c r="H275">
        <v>0</v>
      </c>
      <c r="I275">
        <v>133</v>
      </c>
      <c r="J275">
        <v>360</v>
      </c>
      <c r="K275">
        <v>1</v>
      </c>
      <c r="L275" t="s">
        <v>636</v>
      </c>
      <c r="M275" t="s">
        <v>637</v>
      </c>
    </row>
    <row r="276" spans="1:13" x14ac:dyDescent="0.3">
      <c r="A276" t="s">
        <v>1006</v>
      </c>
      <c r="B276" t="s">
        <v>629</v>
      </c>
      <c r="C276" t="s">
        <v>630</v>
      </c>
      <c r="D276">
        <v>0</v>
      </c>
      <c r="E276" t="s">
        <v>631</v>
      </c>
      <c r="F276" t="s">
        <v>630</v>
      </c>
      <c r="G276">
        <v>2500</v>
      </c>
      <c r="H276">
        <v>0</v>
      </c>
      <c r="I276">
        <v>96</v>
      </c>
      <c r="J276">
        <v>480</v>
      </c>
      <c r="K276">
        <v>1</v>
      </c>
      <c r="L276" t="s">
        <v>646</v>
      </c>
      <c r="M276" t="s">
        <v>637</v>
      </c>
    </row>
    <row r="277" spans="1:13" x14ac:dyDescent="0.3">
      <c r="A277" t="s">
        <v>1008</v>
      </c>
      <c r="B277" t="s">
        <v>629</v>
      </c>
      <c r="C277" t="s">
        <v>635</v>
      </c>
      <c r="D277">
        <v>1</v>
      </c>
      <c r="E277" t="s">
        <v>631</v>
      </c>
      <c r="F277" t="s">
        <v>630</v>
      </c>
      <c r="G277">
        <v>6325</v>
      </c>
      <c r="H277">
        <v>0</v>
      </c>
      <c r="I277">
        <v>175</v>
      </c>
      <c r="J277">
        <v>360</v>
      </c>
      <c r="K277">
        <v>1</v>
      </c>
      <c r="L277" t="s">
        <v>646</v>
      </c>
      <c r="M277" t="s">
        <v>633</v>
      </c>
    </row>
    <row r="278" spans="1:13" x14ac:dyDescent="0.3">
      <c r="A278" t="s">
        <v>1009</v>
      </c>
      <c r="B278" t="s">
        <v>629</v>
      </c>
      <c r="C278" t="s">
        <v>635</v>
      </c>
      <c r="D278">
        <v>0</v>
      </c>
      <c r="E278" t="s">
        <v>631</v>
      </c>
      <c r="F278" t="s">
        <v>630</v>
      </c>
      <c r="G278">
        <v>19730</v>
      </c>
      <c r="H278">
        <v>5266</v>
      </c>
      <c r="I278">
        <v>570</v>
      </c>
      <c r="J278">
        <v>360</v>
      </c>
      <c r="K278">
        <v>1</v>
      </c>
      <c r="L278" t="s">
        <v>636</v>
      </c>
      <c r="M278" t="s">
        <v>637</v>
      </c>
    </row>
    <row r="279" spans="1:13" x14ac:dyDescent="0.3">
      <c r="A279" t="s">
        <v>1010</v>
      </c>
      <c r="B279" t="s">
        <v>657</v>
      </c>
      <c r="C279" t="s">
        <v>630</v>
      </c>
      <c r="D279">
        <v>0</v>
      </c>
      <c r="E279" t="s">
        <v>631</v>
      </c>
      <c r="F279" t="s">
        <v>635</v>
      </c>
      <c r="G279">
        <v>15759</v>
      </c>
      <c r="H279">
        <v>0</v>
      </c>
      <c r="I279">
        <v>55</v>
      </c>
      <c r="J279">
        <v>360</v>
      </c>
      <c r="K279">
        <v>1</v>
      </c>
      <c r="L279" t="s">
        <v>646</v>
      </c>
      <c r="M279" t="s">
        <v>633</v>
      </c>
    </row>
    <row r="280" spans="1:13" x14ac:dyDescent="0.3">
      <c r="A280" t="s">
        <v>1011</v>
      </c>
      <c r="B280" t="s">
        <v>629</v>
      </c>
      <c r="C280" t="s">
        <v>635</v>
      </c>
      <c r="D280">
        <v>2</v>
      </c>
      <c r="E280" t="s">
        <v>631</v>
      </c>
      <c r="F280" t="s">
        <v>630</v>
      </c>
      <c r="G280">
        <v>5185</v>
      </c>
      <c r="H280">
        <v>0</v>
      </c>
      <c r="I280">
        <v>155</v>
      </c>
      <c r="J280">
        <v>360</v>
      </c>
      <c r="K280">
        <v>1</v>
      </c>
      <c r="L280" t="s">
        <v>646</v>
      </c>
      <c r="M280" t="s">
        <v>633</v>
      </c>
    </row>
    <row r="281" spans="1:13" x14ac:dyDescent="0.3">
      <c r="A281" t="s">
        <v>1012</v>
      </c>
      <c r="B281" t="s">
        <v>629</v>
      </c>
      <c r="C281" t="s">
        <v>635</v>
      </c>
      <c r="D281">
        <v>2</v>
      </c>
      <c r="E281" t="s">
        <v>631</v>
      </c>
      <c r="F281" t="s">
        <v>635</v>
      </c>
      <c r="G281">
        <v>9323</v>
      </c>
      <c r="H281">
        <v>7873</v>
      </c>
      <c r="I281">
        <v>380</v>
      </c>
      <c r="J281">
        <v>300</v>
      </c>
      <c r="K281">
        <v>1</v>
      </c>
      <c r="L281" t="s">
        <v>636</v>
      </c>
      <c r="M281" t="s">
        <v>633</v>
      </c>
    </row>
    <row r="282" spans="1:13" x14ac:dyDescent="0.3">
      <c r="A282" t="s">
        <v>1013</v>
      </c>
      <c r="B282" t="s">
        <v>629</v>
      </c>
      <c r="C282" t="s">
        <v>630</v>
      </c>
      <c r="D282">
        <v>1</v>
      </c>
      <c r="E282" t="s">
        <v>631</v>
      </c>
      <c r="F282" t="s">
        <v>630</v>
      </c>
      <c r="G282">
        <v>3062</v>
      </c>
      <c r="H282">
        <v>1987</v>
      </c>
      <c r="I282">
        <v>111</v>
      </c>
      <c r="J282">
        <v>180</v>
      </c>
      <c r="K282">
        <v>0</v>
      </c>
      <c r="L282" t="s">
        <v>632</v>
      </c>
      <c r="M282" t="s">
        <v>637</v>
      </c>
    </row>
    <row r="283" spans="1:13" x14ac:dyDescent="0.3">
      <c r="A283" t="s">
        <v>1015</v>
      </c>
      <c r="B283" t="s">
        <v>629</v>
      </c>
      <c r="C283" t="s">
        <v>635</v>
      </c>
      <c r="D283">
        <v>0</v>
      </c>
      <c r="E283" t="s">
        <v>631</v>
      </c>
      <c r="F283" t="s">
        <v>630</v>
      </c>
      <c r="G283">
        <v>4817</v>
      </c>
      <c r="H283">
        <v>923</v>
      </c>
      <c r="I283">
        <v>120</v>
      </c>
      <c r="J283">
        <v>180</v>
      </c>
      <c r="K283">
        <v>1</v>
      </c>
      <c r="L283" t="s">
        <v>632</v>
      </c>
      <c r="M283" t="s">
        <v>633</v>
      </c>
    </row>
    <row r="284" spans="1:13" x14ac:dyDescent="0.3">
      <c r="A284" t="s">
        <v>1016</v>
      </c>
      <c r="B284" t="s">
        <v>629</v>
      </c>
      <c r="C284" t="s">
        <v>635</v>
      </c>
      <c r="D284" t="s">
        <v>645</v>
      </c>
      <c r="E284" t="s">
        <v>631</v>
      </c>
      <c r="F284" t="s">
        <v>630</v>
      </c>
      <c r="G284">
        <v>8750</v>
      </c>
      <c r="H284">
        <v>4996</v>
      </c>
      <c r="I284">
        <v>130</v>
      </c>
      <c r="J284">
        <v>360</v>
      </c>
      <c r="K284">
        <v>1</v>
      </c>
      <c r="L284" t="s">
        <v>636</v>
      </c>
      <c r="M284" t="s">
        <v>633</v>
      </c>
    </row>
    <row r="285" spans="1:13" x14ac:dyDescent="0.3">
      <c r="A285" t="s">
        <v>1018</v>
      </c>
      <c r="B285" t="s">
        <v>629</v>
      </c>
      <c r="C285" t="s">
        <v>630</v>
      </c>
      <c r="D285">
        <v>0</v>
      </c>
      <c r="E285" t="s">
        <v>631</v>
      </c>
      <c r="F285" t="s">
        <v>630</v>
      </c>
      <c r="G285">
        <v>3069</v>
      </c>
      <c r="H285">
        <v>0</v>
      </c>
      <c r="I285">
        <v>71</v>
      </c>
      <c r="J285">
        <v>480</v>
      </c>
      <c r="K285">
        <v>1</v>
      </c>
      <c r="L285" t="s">
        <v>632</v>
      </c>
      <c r="M285" t="s">
        <v>637</v>
      </c>
    </row>
    <row r="286" spans="1:13" x14ac:dyDescent="0.3">
      <c r="A286" t="s">
        <v>1019</v>
      </c>
      <c r="B286" t="s">
        <v>629</v>
      </c>
      <c r="C286" t="s">
        <v>635</v>
      </c>
      <c r="D286">
        <v>2</v>
      </c>
      <c r="E286" t="s">
        <v>631</v>
      </c>
      <c r="F286" t="s">
        <v>630</v>
      </c>
      <c r="G286">
        <v>5391</v>
      </c>
      <c r="H286">
        <v>0</v>
      </c>
      <c r="I286">
        <v>130</v>
      </c>
      <c r="J286">
        <v>360</v>
      </c>
      <c r="K286">
        <v>1</v>
      </c>
      <c r="L286" t="s">
        <v>632</v>
      </c>
      <c r="M286" t="s">
        <v>633</v>
      </c>
    </row>
    <row r="287" spans="1:13" x14ac:dyDescent="0.3">
      <c r="A287" t="s">
        <v>1021</v>
      </c>
      <c r="B287" t="s">
        <v>629</v>
      </c>
      <c r="C287" t="s">
        <v>630</v>
      </c>
      <c r="D287">
        <v>0</v>
      </c>
      <c r="E287" t="s">
        <v>631</v>
      </c>
      <c r="F287" t="s">
        <v>630</v>
      </c>
      <c r="G287">
        <v>5941</v>
      </c>
      <c r="H287">
        <v>4232</v>
      </c>
      <c r="I287">
        <v>296</v>
      </c>
      <c r="J287">
        <v>360</v>
      </c>
      <c r="K287">
        <v>1</v>
      </c>
      <c r="L287" t="s">
        <v>646</v>
      </c>
      <c r="M287" t="s">
        <v>633</v>
      </c>
    </row>
    <row r="288" spans="1:13" x14ac:dyDescent="0.3">
      <c r="A288" t="s">
        <v>1022</v>
      </c>
      <c r="B288" t="s">
        <v>657</v>
      </c>
      <c r="C288" t="s">
        <v>630</v>
      </c>
      <c r="D288">
        <v>0</v>
      </c>
      <c r="E288" t="s">
        <v>631</v>
      </c>
      <c r="F288" t="s">
        <v>630</v>
      </c>
      <c r="G288">
        <v>6000</v>
      </c>
      <c r="H288">
        <v>0</v>
      </c>
      <c r="I288">
        <v>156</v>
      </c>
      <c r="J288">
        <v>360</v>
      </c>
      <c r="K288">
        <v>1</v>
      </c>
      <c r="L288" t="s">
        <v>632</v>
      </c>
      <c r="M288" t="s">
        <v>633</v>
      </c>
    </row>
    <row r="289" spans="1:13" x14ac:dyDescent="0.3">
      <c r="A289" t="s">
        <v>1023</v>
      </c>
      <c r="B289" t="s">
        <v>629</v>
      </c>
      <c r="C289" t="s">
        <v>630</v>
      </c>
      <c r="D289">
        <v>0</v>
      </c>
      <c r="E289" t="s">
        <v>631</v>
      </c>
      <c r="F289" t="s">
        <v>635</v>
      </c>
      <c r="G289">
        <v>7167</v>
      </c>
      <c r="H289">
        <v>0</v>
      </c>
      <c r="I289">
        <v>128</v>
      </c>
      <c r="J289">
        <v>360</v>
      </c>
      <c r="K289">
        <v>1</v>
      </c>
      <c r="L289" t="s">
        <v>632</v>
      </c>
      <c r="M289" t="s">
        <v>633</v>
      </c>
    </row>
    <row r="290" spans="1:13" x14ac:dyDescent="0.3">
      <c r="A290" t="s">
        <v>1024</v>
      </c>
      <c r="B290" t="s">
        <v>629</v>
      </c>
      <c r="C290" t="s">
        <v>635</v>
      </c>
      <c r="D290">
        <v>2</v>
      </c>
      <c r="E290" t="s">
        <v>631</v>
      </c>
      <c r="F290" t="s">
        <v>630</v>
      </c>
      <c r="G290">
        <v>4566</v>
      </c>
      <c r="H290">
        <v>0</v>
      </c>
      <c r="I290">
        <v>100</v>
      </c>
      <c r="J290">
        <v>360</v>
      </c>
      <c r="K290">
        <v>1</v>
      </c>
      <c r="L290" t="s">
        <v>632</v>
      </c>
      <c r="M290" t="s">
        <v>637</v>
      </c>
    </row>
    <row r="291" spans="1:13" x14ac:dyDescent="0.3">
      <c r="A291" t="s">
        <v>1026</v>
      </c>
      <c r="B291" t="s">
        <v>629</v>
      </c>
      <c r="C291" t="s">
        <v>630</v>
      </c>
      <c r="D291">
        <v>0</v>
      </c>
      <c r="E291" t="s">
        <v>640</v>
      </c>
      <c r="F291" t="s">
        <v>630</v>
      </c>
      <c r="G291">
        <v>2346</v>
      </c>
      <c r="H291">
        <v>1600</v>
      </c>
      <c r="I291">
        <v>132</v>
      </c>
      <c r="J291">
        <v>360</v>
      </c>
      <c r="K291">
        <v>1</v>
      </c>
      <c r="L291" t="s">
        <v>646</v>
      </c>
      <c r="M291" t="s">
        <v>633</v>
      </c>
    </row>
    <row r="292" spans="1:13" x14ac:dyDescent="0.3">
      <c r="A292" t="s">
        <v>1028</v>
      </c>
      <c r="B292" t="s">
        <v>629</v>
      </c>
      <c r="C292" t="s">
        <v>635</v>
      </c>
      <c r="D292">
        <v>0</v>
      </c>
      <c r="E292" t="s">
        <v>631</v>
      </c>
      <c r="F292" t="s">
        <v>630</v>
      </c>
      <c r="G292">
        <v>2333</v>
      </c>
      <c r="H292">
        <v>2417</v>
      </c>
      <c r="I292">
        <v>136</v>
      </c>
      <c r="J292">
        <v>360</v>
      </c>
      <c r="K292">
        <v>1</v>
      </c>
      <c r="L292" t="s">
        <v>632</v>
      </c>
      <c r="M292" t="s">
        <v>633</v>
      </c>
    </row>
    <row r="293" spans="1:13" x14ac:dyDescent="0.3">
      <c r="A293" t="s">
        <v>1029</v>
      </c>
      <c r="B293" t="s">
        <v>629</v>
      </c>
      <c r="C293" t="s">
        <v>635</v>
      </c>
      <c r="D293">
        <v>0</v>
      </c>
      <c r="E293" t="s">
        <v>631</v>
      </c>
      <c r="F293" t="s">
        <v>630</v>
      </c>
      <c r="G293">
        <v>5488</v>
      </c>
      <c r="H293">
        <v>0</v>
      </c>
      <c r="I293">
        <v>125</v>
      </c>
      <c r="J293">
        <v>360</v>
      </c>
      <c r="K293">
        <v>1</v>
      </c>
      <c r="L293" t="s">
        <v>636</v>
      </c>
      <c r="M293" t="s">
        <v>633</v>
      </c>
    </row>
    <row r="294" spans="1:13" x14ac:dyDescent="0.3">
      <c r="A294" t="s">
        <v>1030</v>
      </c>
      <c r="B294" t="s">
        <v>629</v>
      </c>
      <c r="C294" t="s">
        <v>630</v>
      </c>
      <c r="D294" t="s">
        <v>645</v>
      </c>
      <c r="E294" t="s">
        <v>631</v>
      </c>
      <c r="F294" t="s">
        <v>630</v>
      </c>
      <c r="G294">
        <v>9167</v>
      </c>
      <c r="H294">
        <v>0</v>
      </c>
      <c r="I294">
        <v>185</v>
      </c>
      <c r="J294">
        <v>360</v>
      </c>
      <c r="K294">
        <v>1</v>
      </c>
      <c r="L294" t="s">
        <v>636</v>
      </c>
      <c r="M294" t="s">
        <v>633</v>
      </c>
    </row>
    <row r="295" spans="1:13" x14ac:dyDescent="0.3">
      <c r="A295" t="s">
        <v>1031</v>
      </c>
      <c r="B295" t="s">
        <v>629</v>
      </c>
      <c r="C295" t="s">
        <v>635</v>
      </c>
      <c r="D295" t="s">
        <v>645</v>
      </c>
      <c r="E295" t="s">
        <v>631</v>
      </c>
      <c r="F295" t="s">
        <v>630</v>
      </c>
      <c r="G295">
        <v>9504</v>
      </c>
      <c r="H295">
        <v>0</v>
      </c>
      <c r="I295">
        <v>275</v>
      </c>
      <c r="J295">
        <v>360</v>
      </c>
      <c r="K295">
        <v>1</v>
      </c>
      <c r="L295" t="s">
        <v>636</v>
      </c>
      <c r="M295" t="s">
        <v>633</v>
      </c>
    </row>
    <row r="296" spans="1:13" x14ac:dyDescent="0.3">
      <c r="A296" t="s">
        <v>1033</v>
      </c>
      <c r="B296" t="s">
        <v>629</v>
      </c>
      <c r="C296" t="s">
        <v>635</v>
      </c>
      <c r="D296">
        <v>2</v>
      </c>
      <c r="E296" t="s">
        <v>640</v>
      </c>
      <c r="F296" t="s">
        <v>630</v>
      </c>
      <c r="G296">
        <v>1993</v>
      </c>
      <c r="H296">
        <v>1625</v>
      </c>
      <c r="I296">
        <v>113</v>
      </c>
      <c r="J296">
        <v>180</v>
      </c>
      <c r="K296">
        <v>1</v>
      </c>
      <c r="L296" t="s">
        <v>646</v>
      </c>
      <c r="M296" t="s">
        <v>633</v>
      </c>
    </row>
    <row r="297" spans="1:13" x14ac:dyDescent="0.3">
      <c r="A297" t="s">
        <v>1034</v>
      </c>
      <c r="B297" t="s">
        <v>629</v>
      </c>
      <c r="C297" t="s">
        <v>635</v>
      </c>
      <c r="D297">
        <v>2</v>
      </c>
      <c r="E297" t="s">
        <v>631</v>
      </c>
      <c r="F297" t="s">
        <v>630</v>
      </c>
      <c r="G297">
        <v>3100</v>
      </c>
      <c r="H297">
        <v>1400</v>
      </c>
      <c r="I297">
        <v>113</v>
      </c>
      <c r="J297">
        <v>360</v>
      </c>
      <c r="K297">
        <v>1</v>
      </c>
      <c r="L297" t="s">
        <v>632</v>
      </c>
      <c r="M297" t="s">
        <v>633</v>
      </c>
    </row>
    <row r="298" spans="1:13" x14ac:dyDescent="0.3">
      <c r="A298" t="s">
        <v>1036</v>
      </c>
      <c r="B298" t="s">
        <v>657</v>
      </c>
      <c r="C298" t="s">
        <v>630</v>
      </c>
      <c r="D298">
        <v>0</v>
      </c>
      <c r="E298" t="s">
        <v>631</v>
      </c>
      <c r="F298" t="s">
        <v>630</v>
      </c>
      <c r="G298">
        <v>3180</v>
      </c>
      <c r="H298">
        <v>0</v>
      </c>
      <c r="I298">
        <v>71</v>
      </c>
      <c r="J298">
        <v>360</v>
      </c>
      <c r="K298">
        <v>0</v>
      </c>
      <c r="L298" t="s">
        <v>632</v>
      </c>
      <c r="M298" t="s">
        <v>637</v>
      </c>
    </row>
    <row r="299" spans="1:13" x14ac:dyDescent="0.3">
      <c r="A299" t="s">
        <v>1037</v>
      </c>
      <c r="B299" t="s">
        <v>629</v>
      </c>
      <c r="C299" t="s">
        <v>635</v>
      </c>
      <c r="D299">
        <v>0</v>
      </c>
      <c r="E299" t="s">
        <v>631</v>
      </c>
      <c r="F299" t="s">
        <v>630</v>
      </c>
      <c r="G299">
        <v>3033</v>
      </c>
      <c r="H299">
        <v>1459</v>
      </c>
      <c r="I299">
        <v>95</v>
      </c>
      <c r="J299">
        <v>360</v>
      </c>
      <c r="K299">
        <v>1</v>
      </c>
      <c r="L299" t="s">
        <v>632</v>
      </c>
      <c r="M299" t="s">
        <v>633</v>
      </c>
    </row>
    <row r="300" spans="1:13" x14ac:dyDescent="0.3">
      <c r="A300" t="s">
        <v>1038</v>
      </c>
      <c r="B300" t="s">
        <v>629</v>
      </c>
      <c r="C300" t="s">
        <v>630</v>
      </c>
      <c r="D300">
        <v>0</v>
      </c>
      <c r="E300" t="s">
        <v>640</v>
      </c>
      <c r="F300" t="s">
        <v>630</v>
      </c>
      <c r="G300">
        <v>3902</v>
      </c>
      <c r="H300">
        <v>1666</v>
      </c>
      <c r="I300">
        <v>109</v>
      </c>
      <c r="J300">
        <v>360</v>
      </c>
      <c r="K300">
        <v>1</v>
      </c>
      <c r="L300" t="s">
        <v>636</v>
      </c>
      <c r="M300" t="s">
        <v>633</v>
      </c>
    </row>
    <row r="301" spans="1:13" x14ac:dyDescent="0.3">
      <c r="A301" t="s">
        <v>1039</v>
      </c>
      <c r="B301" t="s">
        <v>657</v>
      </c>
      <c r="C301" t="s">
        <v>630</v>
      </c>
      <c r="D301">
        <v>0</v>
      </c>
      <c r="E301" t="s">
        <v>631</v>
      </c>
      <c r="F301" t="s">
        <v>630</v>
      </c>
      <c r="G301">
        <v>1500</v>
      </c>
      <c r="H301">
        <v>1800</v>
      </c>
      <c r="I301">
        <v>103</v>
      </c>
      <c r="J301">
        <v>360</v>
      </c>
      <c r="K301">
        <v>0</v>
      </c>
      <c r="L301" t="s">
        <v>646</v>
      </c>
      <c r="M301" t="s">
        <v>637</v>
      </c>
    </row>
    <row r="302" spans="1:13" x14ac:dyDescent="0.3">
      <c r="A302" t="s">
        <v>1040</v>
      </c>
      <c r="B302" t="s">
        <v>629</v>
      </c>
      <c r="C302" t="s">
        <v>635</v>
      </c>
      <c r="D302">
        <v>2</v>
      </c>
      <c r="E302" t="s">
        <v>640</v>
      </c>
      <c r="F302" t="s">
        <v>630</v>
      </c>
      <c r="G302">
        <v>2889</v>
      </c>
      <c r="H302">
        <v>0</v>
      </c>
      <c r="I302">
        <v>45</v>
      </c>
      <c r="J302">
        <v>180</v>
      </c>
      <c r="K302">
        <v>0</v>
      </c>
      <c r="L302" t="s">
        <v>632</v>
      </c>
      <c r="M302" t="s">
        <v>637</v>
      </c>
    </row>
    <row r="303" spans="1:13" x14ac:dyDescent="0.3">
      <c r="A303" t="s">
        <v>1041</v>
      </c>
      <c r="B303" t="s">
        <v>629</v>
      </c>
      <c r="C303" t="s">
        <v>630</v>
      </c>
      <c r="D303">
        <v>0</v>
      </c>
      <c r="E303" t="s">
        <v>640</v>
      </c>
      <c r="F303" t="s">
        <v>630</v>
      </c>
      <c r="G303">
        <v>2755</v>
      </c>
      <c r="H303">
        <v>0</v>
      </c>
      <c r="I303">
        <v>65</v>
      </c>
      <c r="J303">
        <v>300</v>
      </c>
      <c r="K303">
        <v>1</v>
      </c>
      <c r="L303" t="s">
        <v>636</v>
      </c>
      <c r="M303" t="s">
        <v>637</v>
      </c>
    </row>
    <row r="304" spans="1:13" x14ac:dyDescent="0.3">
      <c r="A304" t="s">
        <v>1042</v>
      </c>
      <c r="B304" t="s">
        <v>629</v>
      </c>
      <c r="C304" t="s">
        <v>630</v>
      </c>
      <c r="D304">
        <v>0</v>
      </c>
      <c r="E304" t="s">
        <v>631</v>
      </c>
      <c r="F304" t="s">
        <v>630</v>
      </c>
      <c r="G304">
        <v>2500</v>
      </c>
      <c r="H304">
        <v>20000</v>
      </c>
      <c r="I304">
        <v>103</v>
      </c>
      <c r="J304">
        <v>360</v>
      </c>
      <c r="K304">
        <v>1</v>
      </c>
      <c r="L304" t="s">
        <v>646</v>
      </c>
      <c r="M304" t="s">
        <v>633</v>
      </c>
    </row>
    <row r="305" spans="1:13" x14ac:dyDescent="0.3">
      <c r="A305" t="s">
        <v>1043</v>
      </c>
      <c r="B305" t="s">
        <v>657</v>
      </c>
      <c r="C305" t="s">
        <v>630</v>
      </c>
      <c r="D305">
        <v>0</v>
      </c>
      <c r="E305" t="s">
        <v>640</v>
      </c>
      <c r="F305" t="s">
        <v>630</v>
      </c>
      <c r="G305">
        <v>1963</v>
      </c>
      <c r="H305">
        <v>0</v>
      </c>
      <c r="I305">
        <v>53</v>
      </c>
      <c r="J305">
        <v>360</v>
      </c>
      <c r="K305">
        <v>1</v>
      </c>
      <c r="L305" t="s">
        <v>646</v>
      </c>
      <c r="M305" t="s">
        <v>633</v>
      </c>
    </row>
    <row r="306" spans="1:13" x14ac:dyDescent="0.3">
      <c r="A306" t="s">
        <v>1044</v>
      </c>
      <c r="B306" t="s">
        <v>657</v>
      </c>
      <c r="C306" t="s">
        <v>630</v>
      </c>
      <c r="D306">
        <v>0</v>
      </c>
      <c r="E306" t="s">
        <v>631</v>
      </c>
      <c r="F306" t="s">
        <v>635</v>
      </c>
      <c r="G306">
        <v>7441</v>
      </c>
      <c r="H306">
        <v>0</v>
      </c>
      <c r="I306">
        <v>194</v>
      </c>
      <c r="J306">
        <v>360</v>
      </c>
      <c r="K306">
        <v>1</v>
      </c>
      <c r="L306" t="s">
        <v>636</v>
      </c>
      <c r="M306" t="s">
        <v>637</v>
      </c>
    </row>
    <row r="307" spans="1:13" x14ac:dyDescent="0.3">
      <c r="A307" t="s">
        <v>1045</v>
      </c>
      <c r="B307" t="s">
        <v>657</v>
      </c>
      <c r="C307" t="s">
        <v>630</v>
      </c>
      <c r="D307">
        <v>0</v>
      </c>
      <c r="E307" t="s">
        <v>631</v>
      </c>
      <c r="F307" t="s">
        <v>630</v>
      </c>
      <c r="G307">
        <v>4547</v>
      </c>
      <c r="H307">
        <v>0</v>
      </c>
      <c r="I307">
        <v>115</v>
      </c>
      <c r="J307">
        <v>360</v>
      </c>
      <c r="K307">
        <v>1</v>
      </c>
      <c r="L307" t="s">
        <v>646</v>
      </c>
      <c r="M307" t="s">
        <v>633</v>
      </c>
    </row>
    <row r="308" spans="1:13" x14ac:dyDescent="0.3">
      <c r="A308" t="s">
        <v>1046</v>
      </c>
      <c r="B308" t="s">
        <v>629</v>
      </c>
      <c r="C308" t="s">
        <v>635</v>
      </c>
      <c r="D308">
        <v>0</v>
      </c>
      <c r="E308" t="s">
        <v>640</v>
      </c>
      <c r="F308" t="s">
        <v>630</v>
      </c>
      <c r="G308">
        <v>2167</v>
      </c>
      <c r="H308">
        <v>2400</v>
      </c>
      <c r="I308">
        <v>115</v>
      </c>
      <c r="J308">
        <v>360</v>
      </c>
      <c r="K308">
        <v>1</v>
      </c>
      <c r="L308" t="s">
        <v>632</v>
      </c>
      <c r="M308" t="s">
        <v>633</v>
      </c>
    </row>
    <row r="309" spans="1:13" x14ac:dyDescent="0.3">
      <c r="A309" t="s">
        <v>1047</v>
      </c>
      <c r="B309" t="s">
        <v>657</v>
      </c>
      <c r="C309" t="s">
        <v>630</v>
      </c>
      <c r="D309">
        <v>0</v>
      </c>
      <c r="E309" t="s">
        <v>640</v>
      </c>
      <c r="F309" t="s">
        <v>630</v>
      </c>
      <c r="G309">
        <v>2213</v>
      </c>
      <c r="H309">
        <v>0</v>
      </c>
      <c r="I309">
        <v>66</v>
      </c>
      <c r="J309">
        <v>360</v>
      </c>
      <c r="K309">
        <v>1</v>
      </c>
      <c r="L309" t="s">
        <v>636</v>
      </c>
      <c r="M309" t="s">
        <v>633</v>
      </c>
    </row>
    <row r="310" spans="1:13" x14ac:dyDescent="0.3">
      <c r="A310" t="s">
        <v>1048</v>
      </c>
      <c r="B310" t="s">
        <v>629</v>
      </c>
      <c r="C310" t="s">
        <v>635</v>
      </c>
      <c r="D310">
        <v>1</v>
      </c>
      <c r="E310" t="s">
        <v>631</v>
      </c>
      <c r="F310" t="s">
        <v>630</v>
      </c>
      <c r="G310">
        <v>8300</v>
      </c>
      <c r="H310">
        <v>0</v>
      </c>
      <c r="I310">
        <v>152</v>
      </c>
      <c r="J310">
        <v>300</v>
      </c>
      <c r="K310">
        <v>0</v>
      </c>
      <c r="L310" t="s">
        <v>646</v>
      </c>
      <c r="M310" t="s">
        <v>637</v>
      </c>
    </row>
    <row r="311" spans="1:13" x14ac:dyDescent="0.3">
      <c r="A311" t="s">
        <v>1049</v>
      </c>
      <c r="B311" t="s">
        <v>629</v>
      </c>
      <c r="C311" t="s">
        <v>635</v>
      </c>
      <c r="D311" t="s">
        <v>645</v>
      </c>
      <c r="E311" t="s">
        <v>631</v>
      </c>
      <c r="F311" t="s">
        <v>630</v>
      </c>
      <c r="G311">
        <v>81000</v>
      </c>
      <c r="H311">
        <v>0</v>
      </c>
      <c r="I311">
        <v>360</v>
      </c>
      <c r="J311">
        <v>360</v>
      </c>
      <c r="K311">
        <v>0</v>
      </c>
      <c r="L311" t="s">
        <v>636</v>
      </c>
      <c r="M311" t="s">
        <v>637</v>
      </c>
    </row>
    <row r="312" spans="1:13" x14ac:dyDescent="0.3">
      <c r="A312" t="s">
        <v>1050</v>
      </c>
      <c r="B312" t="s">
        <v>657</v>
      </c>
      <c r="C312" t="s">
        <v>630</v>
      </c>
      <c r="D312">
        <v>1</v>
      </c>
      <c r="E312" t="s">
        <v>640</v>
      </c>
      <c r="F312" t="s">
        <v>635</v>
      </c>
      <c r="G312">
        <v>3867</v>
      </c>
      <c r="H312">
        <v>0</v>
      </c>
      <c r="I312">
        <v>62</v>
      </c>
      <c r="J312">
        <v>360</v>
      </c>
      <c r="K312">
        <v>1</v>
      </c>
      <c r="L312" t="s">
        <v>646</v>
      </c>
      <c r="M312" t="s">
        <v>637</v>
      </c>
    </row>
    <row r="313" spans="1:13" x14ac:dyDescent="0.3">
      <c r="A313" t="s">
        <v>1052</v>
      </c>
      <c r="B313" t="s">
        <v>629</v>
      </c>
      <c r="C313" t="s">
        <v>635</v>
      </c>
      <c r="D313">
        <v>0</v>
      </c>
      <c r="E313" t="s">
        <v>640</v>
      </c>
      <c r="F313" t="s">
        <v>630</v>
      </c>
      <c r="G313">
        <v>6096</v>
      </c>
      <c r="H313">
        <v>0</v>
      </c>
      <c r="I313">
        <v>218</v>
      </c>
      <c r="J313">
        <v>360</v>
      </c>
      <c r="K313">
        <v>0</v>
      </c>
      <c r="L313" t="s">
        <v>636</v>
      </c>
      <c r="M313" t="s">
        <v>637</v>
      </c>
    </row>
    <row r="314" spans="1:13" x14ac:dyDescent="0.3">
      <c r="A314" t="s">
        <v>1053</v>
      </c>
      <c r="B314" t="s">
        <v>629</v>
      </c>
      <c r="C314" t="s">
        <v>635</v>
      </c>
      <c r="D314">
        <v>0</v>
      </c>
      <c r="E314" t="s">
        <v>640</v>
      </c>
      <c r="F314" t="s">
        <v>630</v>
      </c>
      <c r="G314">
        <v>2253</v>
      </c>
      <c r="H314">
        <v>2033</v>
      </c>
      <c r="I314">
        <v>110</v>
      </c>
      <c r="J314">
        <v>360</v>
      </c>
      <c r="K314">
        <v>1</v>
      </c>
      <c r="L314" t="s">
        <v>636</v>
      </c>
      <c r="M314" t="s">
        <v>633</v>
      </c>
    </row>
    <row r="315" spans="1:13" x14ac:dyDescent="0.3">
      <c r="A315" t="s">
        <v>1054</v>
      </c>
      <c r="B315" t="s">
        <v>657</v>
      </c>
      <c r="C315" t="s">
        <v>635</v>
      </c>
      <c r="D315">
        <v>0</v>
      </c>
      <c r="E315" t="s">
        <v>640</v>
      </c>
      <c r="F315" t="s">
        <v>630</v>
      </c>
      <c r="G315">
        <v>2149</v>
      </c>
      <c r="H315">
        <v>3237</v>
      </c>
      <c r="I315">
        <v>178</v>
      </c>
      <c r="J315">
        <v>360</v>
      </c>
      <c r="K315">
        <v>0</v>
      </c>
      <c r="L315" t="s">
        <v>646</v>
      </c>
      <c r="M315" t="s">
        <v>637</v>
      </c>
    </row>
    <row r="316" spans="1:13" x14ac:dyDescent="0.3">
      <c r="A316" t="s">
        <v>1055</v>
      </c>
      <c r="B316" t="s">
        <v>657</v>
      </c>
      <c r="C316" t="s">
        <v>630</v>
      </c>
      <c r="D316">
        <v>0</v>
      </c>
      <c r="E316" t="s">
        <v>631</v>
      </c>
      <c r="F316" t="s">
        <v>630</v>
      </c>
      <c r="G316">
        <v>2995</v>
      </c>
      <c r="H316">
        <v>0</v>
      </c>
      <c r="I316">
        <v>60</v>
      </c>
      <c r="J316">
        <v>360</v>
      </c>
      <c r="K316">
        <v>1</v>
      </c>
      <c r="L316" t="s">
        <v>632</v>
      </c>
      <c r="M316" t="s">
        <v>633</v>
      </c>
    </row>
    <row r="317" spans="1:13" x14ac:dyDescent="0.3">
      <c r="A317" t="s">
        <v>1056</v>
      </c>
      <c r="B317" t="s">
        <v>657</v>
      </c>
      <c r="C317" t="s">
        <v>630</v>
      </c>
      <c r="D317">
        <v>1</v>
      </c>
      <c r="E317" t="s">
        <v>631</v>
      </c>
      <c r="F317" t="s">
        <v>630</v>
      </c>
      <c r="G317">
        <v>2600</v>
      </c>
      <c r="H317">
        <v>0</v>
      </c>
      <c r="I317">
        <v>160</v>
      </c>
      <c r="J317">
        <v>360</v>
      </c>
      <c r="K317">
        <v>1</v>
      </c>
      <c r="L317" t="s">
        <v>632</v>
      </c>
      <c r="M317" t="s">
        <v>637</v>
      </c>
    </row>
    <row r="318" spans="1:13" x14ac:dyDescent="0.3">
      <c r="A318" t="s">
        <v>1057</v>
      </c>
      <c r="B318" t="s">
        <v>629</v>
      </c>
      <c r="C318" t="s">
        <v>635</v>
      </c>
      <c r="D318">
        <v>2</v>
      </c>
      <c r="E318" t="s">
        <v>631</v>
      </c>
      <c r="F318" t="s">
        <v>635</v>
      </c>
      <c r="G318">
        <v>1600</v>
      </c>
      <c r="H318">
        <v>20000</v>
      </c>
      <c r="I318">
        <v>239</v>
      </c>
      <c r="J318">
        <v>360</v>
      </c>
      <c r="K318">
        <v>1</v>
      </c>
      <c r="L318" t="s">
        <v>632</v>
      </c>
      <c r="M318" t="s">
        <v>637</v>
      </c>
    </row>
    <row r="319" spans="1:13" x14ac:dyDescent="0.3">
      <c r="A319" t="s">
        <v>1058</v>
      </c>
      <c r="B319" t="s">
        <v>629</v>
      </c>
      <c r="C319" t="s">
        <v>635</v>
      </c>
      <c r="D319">
        <v>0</v>
      </c>
      <c r="E319" t="s">
        <v>631</v>
      </c>
      <c r="F319" t="s">
        <v>630</v>
      </c>
      <c r="G319">
        <v>1025</v>
      </c>
      <c r="H319">
        <v>2773</v>
      </c>
      <c r="I319">
        <v>112</v>
      </c>
      <c r="J319">
        <v>360</v>
      </c>
      <c r="K319">
        <v>1</v>
      </c>
      <c r="L319" t="s">
        <v>636</v>
      </c>
      <c r="M319" t="s">
        <v>633</v>
      </c>
    </row>
    <row r="320" spans="1:13" x14ac:dyDescent="0.3">
      <c r="A320" t="s">
        <v>1059</v>
      </c>
      <c r="B320" t="s">
        <v>629</v>
      </c>
      <c r="C320" t="s">
        <v>635</v>
      </c>
      <c r="D320">
        <v>0</v>
      </c>
      <c r="E320" t="s">
        <v>631</v>
      </c>
      <c r="F320" t="s">
        <v>630</v>
      </c>
      <c r="G320">
        <v>3246</v>
      </c>
      <c r="H320">
        <v>1417</v>
      </c>
      <c r="I320">
        <v>138</v>
      </c>
      <c r="J320">
        <v>360</v>
      </c>
      <c r="K320">
        <v>1</v>
      </c>
      <c r="L320" t="s">
        <v>646</v>
      </c>
      <c r="M320" t="s">
        <v>633</v>
      </c>
    </row>
    <row r="321" spans="1:13" x14ac:dyDescent="0.3">
      <c r="A321" t="s">
        <v>1060</v>
      </c>
      <c r="B321" t="s">
        <v>629</v>
      </c>
      <c r="C321" t="s">
        <v>635</v>
      </c>
      <c r="D321">
        <v>0</v>
      </c>
      <c r="E321" t="s">
        <v>631</v>
      </c>
      <c r="F321" t="s">
        <v>630</v>
      </c>
      <c r="G321">
        <v>5829</v>
      </c>
      <c r="H321">
        <v>0</v>
      </c>
      <c r="I321">
        <v>138</v>
      </c>
      <c r="J321">
        <v>360</v>
      </c>
      <c r="K321">
        <v>1</v>
      </c>
      <c r="L321" t="s">
        <v>636</v>
      </c>
      <c r="M321" t="s">
        <v>633</v>
      </c>
    </row>
    <row r="322" spans="1:13" x14ac:dyDescent="0.3">
      <c r="A322" t="s">
        <v>1062</v>
      </c>
      <c r="B322" t="s">
        <v>629</v>
      </c>
      <c r="C322" t="s">
        <v>635</v>
      </c>
      <c r="D322">
        <v>0</v>
      </c>
      <c r="E322" t="s">
        <v>631</v>
      </c>
      <c r="F322" t="s">
        <v>630</v>
      </c>
      <c r="G322">
        <v>1820</v>
      </c>
      <c r="H322">
        <v>1719</v>
      </c>
      <c r="I322">
        <v>100</v>
      </c>
      <c r="J322">
        <v>360</v>
      </c>
      <c r="K322">
        <v>1</v>
      </c>
      <c r="L322" t="s">
        <v>632</v>
      </c>
      <c r="M322" t="s">
        <v>633</v>
      </c>
    </row>
    <row r="323" spans="1:13" x14ac:dyDescent="0.3">
      <c r="A323" t="s">
        <v>1064</v>
      </c>
      <c r="B323" t="s">
        <v>629</v>
      </c>
      <c r="C323" t="s">
        <v>635</v>
      </c>
      <c r="D323">
        <v>0</v>
      </c>
      <c r="E323" t="s">
        <v>631</v>
      </c>
      <c r="F323" t="s">
        <v>630</v>
      </c>
      <c r="G323">
        <v>14880</v>
      </c>
      <c r="H323">
        <v>0</v>
      </c>
      <c r="I323">
        <v>96</v>
      </c>
      <c r="J323">
        <v>360</v>
      </c>
      <c r="K323">
        <v>1</v>
      </c>
      <c r="L323" t="s">
        <v>646</v>
      </c>
      <c r="M323" t="s">
        <v>633</v>
      </c>
    </row>
    <row r="324" spans="1:13" x14ac:dyDescent="0.3">
      <c r="A324" t="s">
        <v>1065</v>
      </c>
      <c r="B324" t="s">
        <v>629</v>
      </c>
      <c r="C324" t="s">
        <v>635</v>
      </c>
      <c r="D324">
        <v>0</v>
      </c>
      <c r="E324" t="s">
        <v>631</v>
      </c>
      <c r="F324" t="s">
        <v>630</v>
      </c>
      <c r="G324">
        <v>2666</v>
      </c>
      <c r="H324">
        <v>4300</v>
      </c>
      <c r="I324">
        <v>121</v>
      </c>
      <c r="J324">
        <v>360</v>
      </c>
      <c r="K324">
        <v>1</v>
      </c>
      <c r="L324" t="s">
        <v>636</v>
      </c>
      <c r="M324" t="s">
        <v>633</v>
      </c>
    </row>
    <row r="325" spans="1:13" x14ac:dyDescent="0.3">
      <c r="A325" t="s">
        <v>1066</v>
      </c>
      <c r="B325" t="s">
        <v>657</v>
      </c>
      <c r="C325" t="s">
        <v>630</v>
      </c>
      <c r="D325">
        <v>1</v>
      </c>
      <c r="E325" t="s">
        <v>640</v>
      </c>
      <c r="F325" t="s">
        <v>630</v>
      </c>
      <c r="G325">
        <v>4606</v>
      </c>
      <c r="H325">
        <v>0</v>
      </c>
      <c r="I325">
        <v>81</v>
      </c>
      <c r="J325">
        <v>360</v>
      </c>
      <c r="K325">
        <v>1</v>
      </c>
      <c r="L325" t="s">
        <v>636</v>
      </c>
      <c r="M325" t="s">
        <v>637</v>
      </c>
    </row>
    <row r="326" spans="1:13" x14ac:dyDescent="0.3">
      <c r="A326" t="s">
        <v>1067</v>
      </c>
      <c r="B326" t="s">
        <v>629</v>
      </c>
      <c r="C326" t="s">
        <v>635</v>
      </c>
      <c r="D326">
        <v>2</v>
      </c>
      <c r="E326" t="s">
        <v>631</v>
      </c>
      <c r="F326" t="s">
        <v>630</v>
      </c>
      <c r="G326">
        <v>5935</v>
      </c>
      <c r="H326">
        <v>0</v>
      </c>
      <c r="I326">
        <v>133</v>
      </c>
      <c r="J326">
        <v>360</v>
      </c>
      <c r="K326">
        <v>1</v>
      </c>
      <c r="L326" t="s">
        <v>646</v>
      </c>
      <c r="M326" t="s">
        <v>633</v>
      </c>
    </row>
    <row r="327" spans="1:13" x14ac:dyDescent="0.3">
      <c r="A327" t="s">
        <v>1068</v>
      </c>
      <c r="B327" t="s">
        <v>629</v>
      </c>
      <c r="C327" t="s">
        <v>635</v>
      </c>
      <c r="D327">
        <v>0</v>
      </c>
      <c r="E327" t="s">
        <v>631</v>
      </c>
      <c r="F327" t="s">
        <v>630</v>
      </c>
      <c r="G327">
        <v>2920</v>
      </c>
      <c r="H327" s="1">
        <v>1612000084</v>
      </c>
      <c r="I327">
        <v>87</v>
      </c>
      <c r="J327">
        <v>360</v>
      </c>
      <c r="K327">
        <v>1</v>
      </c>
      <c r="L327" t="s">
        <v>636</v>
      </c>
      <c r="M327" t="s">
        <v>633</v>
      </c>
    </row>
    <row r="328" spans="1:13" x14ac:dyDescent="0.3">
      <c r="A328" t="s">
        <v>1069</v>
      </c>
      <c r="B328" t="s">
        <v>629</v>
      </c>
      <c r="C328" t="s">
        <v>630</v>
      </c>
      <c r="D328">
        <v>0</v>
      </c>
      <c r="E328" t="s">
        <v>640</v>
      </c>
      <c r="F328" t="s">
        <v>630</v>
      </c>
      <c r="G328">
        <v>2717</v>
      </c>
      <c r="H328">
        <v>0</v>
      </c>
      <c r="I328">
        <v>60</v>
      </c>
      <c r="J328">
        <v>180</v>
      </c>
      <c r="K328">
        <v>1</v>
      </c>
      <c r="L328" t="s">
        <v>632</v>
      </c>
      <c r="M328" t="s">
        <v>633</v>
      </c>
    </row>
    <row r="329" spans="1:13" x14ac:dyDescent="0.3">
      <c r="A329" t="s">
        <v>1070</v>
      </c>
      <c r="B329" t="s">
        <v>657</v>
      </c>
      <c r="C329" t="s">
        <v>630</v>
      </c>
      <c r="D329">
        <v>1</v>
      </c>
      <c r="E329" t="s">
        <v>631</v>
      </c>
      <c r="F329" t="s">
        <v>635</v>
      </c>
      <c r="G329">
        <v>8624</v>
      </c>
      <c r="H329">
        <v>0</v>
      </c>
      <c r="I329">
        <v>150</v>
      </c>
      <c r="J329">
        <v>360</v>
      </c>
      <c r="K329">
        <v>1</v>
      </c>
      <c r="L329" t="s">
        <v>646</v>
      </c>
      <c r="M329" t="s">
        <v>633</v>
      </c>
    </row>
    <row r="330" spans="1:13" x14ac:dyDescent="0.3">
      <c r="A330" t="s">
        <v>1071</v>
      </c>
      <c r="B330" t="s">
        <v>629</v>
      </c>
      <c r="C330" t="s">
        <v>630</v>
      </c>
      <c r="D330">
        <v>0</v>
      </c>
      <c r="E330" t="s">
        <v>631</v>
      </c>
      <c r="F330" t="s">
        <v>630</v>
      </c>
      <c r="G330">
        <v>6500</v>
      </c>
      <c r="H330">
        <v>0</v>
      </c>
      <c r="I330">
        <v>105</v>
      </c>
      <c r="J330">
        <v>360</v>
      </c>
      <c r="K330">
        <v>0</v>
      </c>
      <c r="L330" t="s">
        <v>636</v>
      </c>
      <c r="M330" t="s">
        <v>637</v>
      </c>
    </row>
    <row r="331" spans="1:13" x14ac:dyDescent="0.3">
      <c r="A331" t="s">
        <v>1073</v>
      </c>
      <c r="B331" t="s">
        <v>629</v>
      </c>
      <c r="C331" t="s">
        <v>635</v>
      </c>
      <c r="D331">
        <v>0</v>
      </c>
      <c r="E331" t="s">
        <v>631</v>
      </c>
      <c r="F331" t="s">
        <v>630</v>
      </c>
      <c r="G331">
        <v>2425</v>
      </c>
      <c r="H331">
        <v>2340</v>
      </c>
      <c r="I331">
        <v>143</v>
      </c>
      <c r="J331">
        <v>360</v>
      </c>
      <c r="K331">
        <v>1</v>
      </c>
      <c r="L331" t="s">
        <v>646</v>
      </c>
      <c r="M331" t="s">
        <v>633</v>
      </c>
    </row>
    <row r="332" spans="1:13" x14ac:dyDescent="0.3">
      <c r="A332" t="s">
        <v>1074</v>
      </c>
      <c r="B332" t="s">
        <v>629</v>
      </c>
      <c r="C332" t="s">
        <v>630</v>
      </c>
      <c r="D332">
        <v>0</v>
      </c>
      <c r="E332" t="s">
        <v>631</v>
      </c>
      <c r="F332" t="s">
        <v>630</v>
      </c>
      <c r="G332">
        <v>3750</v>
      </c>
      <c r="H332">
        <v>0</v>
      </c>
      <c r="I332">
        <v>100</v>
      </c>
      <c r="J332">
        <v>360</v>
      </c>
      <c r="K332">
        <v>1</v>
      </c>
      <c r="L332" t="s">
        <v>632</v>
      </c>
      <c r="M332" t="s">
        <v>633</v>
      </c>
    </row>
    <row r="333" spans="1:13" x14ac:dyDescent="0.3">
      <c r="A333" t="s">
        <v>1076</v>
      </c>
      <c r="B333" t="s">
        <v>629</v>
      </c>
      <c r="C333" t="s">
        <v>630</v>
      </c>
      <c r="D333">
        <v>0</v>
      </c>
      <c r="E333" t="s">
        <v>631</v>
      </c>
      <c r="F333" t="s">
        <v>630</v>
      </c>
      <c r="G333">
        <v>1926</v>
      </c>
      <c r="H333">
        <v>1851</v>
      </c>
      <c r="I333">
        <v>50</v>
      </c>
      <c r="J333">
        <v>360</v>
      </c>
      <c r="K333">
        <v>1</v>
      </c>
      <c r="L333" t="s">
        <v>646</v>
      </c>
      <c r="M333" t="s">
        <v>633</v>
      </c>
    </row>
    <row r="334" spans="1:13" x14ac:dyDescent="0.3">
      <c r="A334" t="s">
        <v>1078</v>
      </c>
      <c r="B334" t="s">
        <v>629</v>
      </c>
      <c r="C334" t="s">
        <v>630</v>
      </c>
      <c r="D334">
        <v>0</v>
      </c>
      <c r="E334" t="s">
        <v>631</v>
      </c>
      <c r="F334" t="s">
        <v>635</v>
      </c>
      <c r="G334">
        <v>10416</v>
      </c>
      <c r="H334">
        <v>0</v>
      </c>
      <c r="I334">
        <v>187</v>
      </c>
      <c r="J334">
        <v>360</v>
      </c>
      <c r="K334">
        <v>0</v>
      </c>
      <c r="L334" t="s">
        <v>632</v>
      </c>
      <c r="M334" t="s">
        <v>637</v>
      </c>
    </row>
    <row r="335" spans="1:13" x14ac:dyDescent="0.3">
      <c r="A335" t="s">
        <v>1079</v>
      </c>
      <c r="B335" t="s">
        <v>657</v>
      </c>
      <c r="C335" t="s">
        <v>635</v>
      </c>
      <c r="D335">
        <v>0</v>
      </c>
      <c r="E335" t="s">
        <v>640</v>
      </c>
      <c r="F335" t="s">
        <v>635</v>
      </c>
      <c r="G335">
        <v>7142</v>
      </c>
      <c r="H335">
        <v>0</v>
      </c>
      <c r="I335">
        <v>138</v>
      </c>
      <c r="J335">
        <v>360</v>
      </c>
      <c r="K335">
        <v>1</v>
      </c>
      <c r="L335" t="s">
        <v>636</v>
      </c>
      <c r="M335" t="s">
        <v>633</v>
      </c>
    </row>
    <row r="336" spans="1:13" x14ac:dyDescent="0.3">
      <c r="A336" t="s">
        <v>1080</v>
      </c>
      <c r="B336" t="s">
        <v>629</v>
      </c>
      <c r="C336" t="s">
        <v>630</v>
      </c>
      <c r="D336">
        <v>0</v>
      </c>
      <c r="E336" t="s">
        <v>631</v>
      </c>
      <c r="F336" t="s">
        <v>630</v>
      </c>
      <c r="G336">
        <v>3660</v>
      </c>
      <c r="H336">
        <v>5064</v>
      </c>
      <c r="I336">
        <v>187</v>
      </c>
      <c r="J336">
        <v>360</v>
      </c>
      <c r="K336">
        <v>1</v>
      </c>
      <c r="L336" t="s">
        <v>646</v>
      </c>
      <c r="M336" t="s">
        <v>633</v>
      </c>
    </row>
    <row r="337" spans="1:13" x14ac:dyDescent="0.3">
      <c r="A337" t="s">
        <v>1081</v>
      </c>
      <c r="B337" t="s">
        <v>629</v>
      </c>
      <c r="C337" t="s">
        <v>635</v>
      </c>
      <c r="D337">
        <v>0</v>
      </c>
      <c r="E337" t="s">
        <v>631</v>
      </c>
      <c r="F337" t="s">
        <v>630</v>
      </c>
      <c r="G337">
        <v>7901</v>
      </c>
      <c r="H337">
        <v>1833</v>
      </c>
      <c r="I337">
        <v>180</v>
      </c>
      <c r="J337">
        <v>360</v>
      </c>
      <c r="K337">
        <v>1</v>
      </c>
      <c r="L337" t="s">
        <v>636</v>
      </c>
      <c r="M337" t="s">
        <v>633</v>
      </c>
    </row>
    <row r="338" spans="1:13" x14ac:dyDescent="0.3">
      <c r="A338" t="s">
        <v>1082</v>
      </c>
      <c r="B338" t="s">
        <v>629</v>
      </c>
      <c r="C338" t="s">
        <v>630</v>
      </c>
      <c r="D338" t="s">
        <v>645</v>
      </c>
      <c r="E338" t="s">
        <v>640</v>
      </c>
      <c r="F338" t="s">
        <v>630</v>
      </c>
      <c r="G338">
        <v>4707</v>
      </c>
      <c r="H338">
        <v>1993</v>
      </c>
      <c r="I338">
        <v>148</v>
      </c>
      <c r="J338">
        <v>360</v>
      </c>
      <c r="K338">
        <v>1</v>
      </c>
      <c r="L338" t="s">
        <v>646</v>
      </c>
      <c r="M338" t="s">
        <v>633</v>
      </c>
    </row>
    <row r="339" spans="1:13" x14ac:dyDescent="0.3">
      <c r="A339" t="s">
        <v>1083</v>
      </c>
      <c r="B339" t="s">
        <v>629</v>
      </c>
      <c r="C339" t="s">
        <v>630</v>
      </c>
      <c r="D339">
        <v>1</v>
      </c>
      <c r="E339" t="s">
        <v>631</v>
      </c>
      <c r="F339" t="s">
        <v>630</v>
      </c>
      <c r="G339">
        <v>37719</v>
      </c>
      <c r="H339">
        <v>0</v>
      </c>
      <c r="I339">
        <v>152</v>
      </c>
      <c r="J339">
        <v>360</v>
      </c>
      <c r="K339">
        <v>1</v>
      </c>
      <c r="L339" t="s">
        <v>646</v>
      </c>
      <c r="M339" t="s">
        <v>633</v>
      </c>
    </row>
    <row r="340" spans="1:13" x14ac:dyDescent="0.3">
      <c r="A340" t="s">
        <v>1085</v>
      </c>
      <c r="B340" t="s">
        <v>629</v>
      </c>
      <c r="C340" t="s">
        <v>635</v>
      </c>
      <c r="D340">
        <v>1</v>
      </c>
      <c r="E340" t="s">
        <v>631</v>
      </c>
      <c r="F340" t="s">
        <v>635</v>
      </c>
      <c r="G340">
        <v>3466</v>
      </c>
      <c r="H340">
        <v>1210</v>
      </c>
      <c r="I340">
        <v>130</v>
      </c>
      <c r="J340">
        <v>360</v>
      </c>
      <c r="K340">
        <v>1</v>
      </c>
      <c r="L340" t="s">
        <v>636</v>
      </c>
      <c r="M340" t="s">
        <v>633</v>
      </c>
    </row>
    <row r="341" spans="1:13" x14ac:dyDescent="0.3">
      <c r="A341" t="s">
        <v>1086</v>
      </c>
      <c r="B341" t="s">
        <v>629</v>
      </c>
      <c r="C341" t="s">
        <v>635</v>
      </c>
      <c r="D341">
        <v>2</v>
      </c>
      <c r="E341" t="s">
        <v>640</v>
      </c>
      <c r="F341" t="s">
        <v>630</v>
      </c>
      <c r="G341">
        <v>4652</v>
      </c>
      <c r="H341">
        <v>0</v>
      </c>
      <c r="I341">
        <v>110</v>
      </c>
      <c r="J341">
        <v>360</v>
      </c>
      <c r="K341">
        <v>1</v>
      </c>
      <c r="L341" t="s">
        <v>636</v>
      </c>
      <c r="M341" t="s">
        <v>633</v>
      </c>
    </row>
    <row r="342" spans="1:13" x14ac:dyDescent="0.3">
      <c r="A342" t="s">
        <v>1088</v>
      </c>
      <c r="B342" t="s">
        <v>629</v>
      </c>
      <c r="C342" t="s">
        <v>635</v>
      </c>
      <c r="D342">
        <v>2</v>
      </c>
      <c r="E342" t="s">
        <v>631</v>
      </c>
      <c r="F342" t="s">
        <v>630</v>
      </c>
      <c r="G342">
        <v>3340</v>
      </c>
      <c r="H342">
        <v>1710</v>
      </c>
      <c r="I342">
        <v>150</v>
      </c>
      <c r="J342">
        <v>360</v>
      </c>
      <c r="K342">
        <v>0</v>
      </c>
      <c r="L342" t="s">
        <v>636</v>
      </c>
      <c r="M342" t="s">
        <v>637</v>
      </c>
    </row>
    <row r="343" spans="1:13" x14ac:dyDescent="0.3">
      <c r="A343" t="s">
        <v>1090</v>
      </c>
      <c r="B343" t="s">
        <v>629</v>
      </c>
      <c r="C343" t="s">
        <v>635</v>
      </c>
      <c r="D343">
        <v>2</v>
      </c>
      <c r="E343" t="s">
        <v>640</v>
      </c>
      <c r="F343" t="s">
        <v>630</v>
      </c>
      <c r="G343">
        <v>2309</v>
      </c>
      <c r="H343">
        <v>1255</v>
      </c>
      <c r="I343">
        <v>125</v>
      </c>
      <c r="J343">
        <v>360</v>
      </c>
      <c r="K343">
        <v>0</v>
      </c>
      <c r="L343" t="s">
        <v>636</v>
      </c>
      <c r="M343" t="s">
        <v>637</v>
      </c>
    </row>
    <row r="344" spans="1:13" x14ac:dyDescent="0.3">
      <c r="A344" t="s">
        <v>1092</v>
      </c>
      <c r="B344" t="s">
        <v>629</v>
      </c>
      <c r="C344" t="s">
        <v>635</v>
      </c>
      <c r="D344">
        <v>0</v>
      </c>
      <c r="E344" t="s">
        <v>631</v>
      </c>
      <c r="F344" t="s">
        <v>630</v>
      </c>
      <c r="G344">
        <v>3948</v>
      </c>
      <c r="H344">
        <v>1733</v>
      </c>
      <c r="I344">
        <v>149</v>
      </c>
      <c r="J344">
        <v>360</v>
      </c>
      <c r="K344">
        <v>0</v>
      </c>
      <c r="L344" t="s">
        <v>636</v>
      </c>
      <c r="M344" t="s">
        <v>637</v>
      </c>
    </row>
    <row r="345" spans="1:13" x14ac:dyDescent="0.3">
      <c r="A345" t="s">
        <v>1093</v>
      </c>
      <c r="B345" t="s">
        <v>629</v>
      </c>
      <c r="C345" t="s">
        <v>635</v>
      </c>
      <c r="D345">
        <v>0</v>
      </c>
      <c r="E345" t="s">
        <v>631</v>
      </c>
      <c r="F345" t="s">
        <v>630</v>
      </c>
      <c r="G345">
        <v>2483</v>
      </c>
      <c r="H345">
        <v>2466</v>
      </c>
      <c r="I345">
        <v>90</v>
      </c>
      <c r="J345">
        <v>180</v>
      </c>
      <c r="K345">
        <v>0</v>
      </c>
      <c r="L345" t="s">
        <v>636</v>
      </c>
      <c r="M345" t="s">
        <v>633</v>
      </c>
    </row>
    <row r="346" spans="1:13" x14ac:dyDescent="0.3">
      <c r="A346" t="s">
        <v>1094</v>
      </c>
      <c r="B346" t="s">
        <v>629</v>
      </c>
      <c r="C346" t="s">
        <v>630</v>
      </c>
      <c r="D346">
        <v>0</v>
      </c>
      <c r="E346" t="s">
        <v>631</v>
      </c>
      <c r="F346" t="s">
        <v>635</v>
      </c>
      <c r="G346">
        <v>7085</v>
      </c>
      <c r="H346">
        <v>0</v>
      </c>
      <c r="I346">
        <v>84</v>
      </c>
      <c r="J346">
        <v>360</v>
      </c>
      <c r="K346">
        <v>1</v>
      </c>
      <c r="L346" t="s">
        <v>646</v>
      </c>
      <c r="M346" t="s">
        <v>633</v>
      </c>
    </row>
    <row r="347" spans="1:13" x14ac:dyDescent="0.3">
      <c r="A347" t="s">
        <v>1095</v>
      </c>
      <c r="B347" t="s">
        <v>629</v>
      </c>
      <c r="C347" t="s">
        <v>635</v>
      </c>
      <c r="D347">
        <v>2</v>
      </c>
      <c r="E347" t="s">
        <v>631</v>
      </c>
      <c r="F347" t="s">
        <v>630</v>
      </c>
      <c r="G347">
        <v>3859</v>
      </c>
      <c r="H347">
        <v>0</v>
      </c>
      <c r="I347">
        <v>96</v>
      </c>
      <c r="J347">
        <v>360</v>
      </c>
      <c r="K347">
        <v>1</v>
      </c>
      <c r="L347" t="s">
        <v>646</v>
      </c>
      <c r="M347" t="s">
        <v>633</v>
      </c>
    </row>
    <row r="348" spans="1:13" x14ac:dyDescent="0.3">
      <c r="A348" t="s">
        <v>1096</v>
      </c>
      <c r="B348" t="s">
        <v>629</v>
      </c>
      <c r="C348" t="s">
        <v>635</v>
      </c>
      <c r="D348">
        <v>0</v>
      </c>
      <c r="E348" t="s">
        <v>631</v>
      </c>
      <c r="F348" t="s">
        <v>630</v>
      </c>
      <c r="G348">
        <v>4301</v>
      </c>
      <c r="H348">
        <v>0</v>
      </c>
      <c r="I348">
        <v>118</v>
      </c>
      <c r="J348">
        <v>360</v>
      </c>
      <c r="K348">
        <v>1</v>
      </c>
      <c r="L348" t="s">
        <v>632</v>
      </c>
      <c r="M348" t="s">
        <v>633</v>
      </c>
    </row>
    <row r="349" spans="1:13" x14ac:dyDescent="0.3">
      <c r="A349" t="s">
        <v>1097</v>
      </c>
      <c r="B349" t="s">
        <v>629</v>
      </c>
      <c r="C349" t="s">
        <v>635</v>
      </c>
      <c r="D349">
        <v>0</v>
      </c>
      <c r="E349" t="s">
        <v>631</v>
      </c>
      <c r="F349" t="s">
        <v>630</v>
      </c>
      <c r="G349">
        <v>3708</v>
      </c>
      <c r="H349">
        <v>2569</v>
      </c>
      <c r="I349">
        <v>173</v>
      </c>
      <c r="J349">
        <v>360</v>
      </c>
      <c r="K349">
        <v>1</v>
      </c>
      <c r="L349" t="s">
        <v>632</v>
      </c>
      <c r="M349" t="s">
        <v>637</v>
      </c>
    </row>
    <row r="350" spans="1:13" x14ac:dyDescent="0.3">
      <c r="A350" t="s">
        <v>1098</v>
      </c>
      <c r="B350" t="s">
        <v>629</v>
      </c>
      <c r="C350" t="s">
        <v>630</v>
      </c>
      <c r="D350">
        <v>2</v>
      </c>
      <c r="E350" t="s">
        <v>631</v>
      </c>
      <c r="F350" t="s">
        <v>630</v>
      </c>
      <c r="G350">
        <v>4354</v>
      </c>
      <c r="H350">
        <v>0</v>
      </c>
      <c r="I350">
        <v>136</v>
      </c>
      <c r="J350">
        <v>360</v>
      </c>
      <c r="K350">
        <v>1</v>
      </c>
      <c r="L350" t="s">
        <v>636</v>
      </c>
      <c r="M350" t="s">
        <v>633</v>
      </c>
    </row>
    <row r="351" spans="1:13" x14ac:dyDescent="0.3">
      <c r="A351" t="s">
        <v>1099</v>
      </c>
      <c r="B351" t="s">
        <v>629</v>
      </c>
      <c r="C351" t="s">
        <v>635</v>
      </c>
      <c r="D351">
        <v>0</v>
      </c>
      <c r="E351" t="s">
        <v>631</v>
      </c>
      <c r="F351" t="s">
        <v>630</v>
      </c>
      <c r="G351">
        <v>8334</v>
      </c>
      <c r="H351">
        <v>0</v>
      </c>
      <c r="I351">
        <v>160</v>
      </c>
      <c r="J351">
        <v>360</v>
      </c>
      <c r="K351">
        <v>1</v>
      </c>
      <c r="L351" t="s">
        <v>646</v>
      </c>
      <c r="M351" t="s">
        <v>637</v>
      </c>
    </row>
    <row r="352" spans="1:13" x14ac:dyDescent="0.3">
      <c r="A352" t="s">
        <v>1101</v>
      </c>
      <c r="B352" t="s">
        <v>629</v>
      </c>
      <c r="C352" t="s">
        <v>635</v>
      </c>
      <c r="D352" t="s">
        <v>645</v>
      </c>
      <c r="E352" t="s">
        <v>631</v>
      </c>
      <c r="F352" t="s">
        <v>630</v>
      </c>
      <c r="G352">
        <v>7740</v>
      </c>
      <c r="H352">
        <v>0</v>
      </c>
      <c r="I352">
        <v>128</v>
      </c>
      <c r="J352">
        <v>180</v>
      </c>
      <c r="K352">
        <v>1</v>
      </c>
      <c r="L352" t="s">
        <v>632</v>
      </c>
      <c r="M352" t="s">
        <v>633</v>
      </c>
    </row>
    <row r="353" spans="1:13" x14ac:dyDescent="0.3">
      <c r="A353" t="s">
        <v>1102</v>
      </c>
      <c r="B353" t="s">
        <v>629</v>
      </c>
      <c r="C353" t="s">
        <v>635</v>
      </c>
      <c r="D353">
        <v>0</v>
      </c>
      <c r="E353" t="s">
        <v>631</v>
      </c>
      <c r="F353" t="s">
        <v>630</v>
      </c>
      <c r="G353">
        <v>3015</v>
      </c>
      <c r="H353">
        <v>2188</v>
      </c>
      <c r="I353">
        <v>153</v>
      </c>
      <c r="J353">
        <v>360</v>
      </c>
      <c r="K353">
        <v>1</v>
      </c>
      <c r="L353" t="s">
        <v>636</v>
      </c>
      <c r="M353" t="s">
        <v>633</v>
      </c>
    </row>
    <row r="354" spans="1:13" x14ac:dyDescent="0.3">
      <c r="A354" t="s">
        <v>1104</v>
      </c>
      <c r="B354" t="s">
        <v>629</v>
      </c>
      <c r="C354" t="s">
        <v>630</v>
      </c>
      <c r="D354">
        <v>0</v>
      </c>
      <c r="E354" t="s">
        <v>631</v>
      </c>
      <c r="F354" t="s">
        <v>630</v>
      </c>
      <c r="G354">
        <v>4166</v>
      </c>
      <c r="H354">
        <v>0</v>
      </c>
      <c r="I354">
        <v>98</v>
      </c>
      <c r="J354">
        <v>360</v>
      </c>
      <c r="K354">
        <v>0</v>
      </c>
      <c r="L354" t="s">
        <v>646</v>
      </c>
      <c r="M354" t="s">
        <v>637</v>
      </c>
    </row>
    <row r="355" spans="1:13" x14ac:dyDescent="0.3">
      <c r="A355" t="s">
        <v>1105</v>
      </c>
      <c r="B355" t="s">
        <v>629</v>
      </c>
      <c r="C355" t="s">
        <v>630</v>
      </c>
      <c r="D355">
        <v>0</v>
      </c>
      <c r="E355" t="s">
        <v>631</v>
      </c>
      <c r="F355" t="s">
        <v>630</v>
      </c>
      <c r="G355">
        <v>6000</v>
      </c>
      <c r="H355">
        <v>0</v>
      </c>
      <c r="I355">
        <v>140</v>
      </c>
      <c r="J355">
        <v>360</v>
      </c>
      <c r="K355">
        <v>1</v>
      </c>
      <c r="L355" t="s">
        <v>636</v>
      </c>
      <c r="M355" t="s">
        <v>633</v>
      </c>
    </row>
    <row r="356" spans="1:13" x14ac:dyDescent="0.3">
      <c r="A356" t="s">
        <v>1106</v>
      </c>
      <c r="B356" t="s">
        <v>629</v>
      </c>
      <c r="C356" t="s">
        <v>635</v>
      </c>
      <c r="D356" t="s">
        <v>645</v>
      </c>
      <c r="E356" t="s">
        <v>640</v>
      </c>
      <c r="F356" t="s">
        <v>630</v>
      </c>
      <c r="G356">
        <v>2947</v>
      </c>
      <c r="H356">
        <v>1664</v>
      </c>
      <c r="I356">
        <v>70</v>
      </c>
      <c r="J356">
        <v>180</v>
      </c>
      <c r="K356">
        <v>0</v>
      </c>
      <c r="L356" t="s">
        <v>632</v>
      </c>
      <c r="M356" t="s">
        <v>637</v>
      </c>
    </row>
    <row r="357" spans="1:13" x14ac:dyDescent="0.3">
      <c r="A357" t="s">
        <v>1109</v>
      </c>
      <c r="B357" t="s">
        <v>629</v>
      </c>
      <c r="C357" t="s">
        <v>635</v>
      </c>
      <c r="D357">
        <v>0</v>
      </c>
      <c r="E357" t="s">
        <v>631</v>
      </c>
      <c r="F357" t="s">
        <v>630</v>
      </c>
      <c r="G357">
        <v>4333</v>
      </c>
      <c r="H357">
        <v>2451</v>
      </c>
      <c r="I357">
        <v>110</v>
      </c>
      <c r="J357">
        <v>360</v>
      </c>
      <c r="K357">
        <v>1</v>
      </c>
      <c r="L357" t="s">
        <v>632</v>
      </c>
      <c r="M357" t="s">
        <v>637</v>
      </c>
    </row>
    <row r="358" spans="1:13" x14ac:dyDescent="0.3">
      <c r="A358" t="s">
        <v>1110</v>
      </c>
      <c r="B358" t="s">
        <v>629</v>
      </c>
      <c r="C358" t="s">
        <v>635</v>
      </c>
      <c r="D358">
        <v>1</v>
      </c>
      <c r="E358" t="s">
        <v>631</v>
      </c>
      <c r="F358" t="s">
        <v>635</v>
      </c>
      <c r="G358">
        <v>3450</v>
      </c>
      <c r="H358">
        <v>2079</v>
      </c>
      <c r="I358">
        <v>162</v>
      </c>
      <c r="J358">
        <v>360</v>
      </c>
      <c r="K358">
        <v>1</v>
      </c>
      <c r="L358" t="s">
        <v>646</v>
      </c>
      <c r="M358" t="s">
        <v>633</v>
      </c>
    </row>
    <row r="359" spans="1:13" x14ac:dyDescent="0.3">
      <c r="A359" t="s">
        <v>1111</v>
      </c>
      <c r="B359" t="s">
        <v>629</v>
      </c>
      <c r="C359" t="s">
        <v>635</v>
      </c>
      <c r="D359">
        <v>1</v>
      </c>
      <c r="E359" t="s">
        <v>640</v>
      </c>
      <c r="F359" t="s">
        <v>630</v>
      </c>
      <c r="G359">
        <v>2653</v>
      </c>
      <c r="H359">
        <v>1500</v>
      </c>
      <c r="I359">
        <v>113</v>
      </c>
      <c r="J359">
        <v>180</v>
      </c>
      <c r="K359">
        <v>0</v>
      </c>
      <c r="L359" t="s">
        <v>636</v>
      </c>
      <c r="M359" t="s">
        <v>637</v>
      </c>
    </row>
    <row r="360" spans="1:13" x14ac:dyDescent="0.3">
      <c r="A360" t="s">
        <v>1112</v>
      </c>
      <c r="B360" t="s">
        <v>629</v>
      </c>
      <c r="C360" t="s">
        <v>635</v>
      </c>
      <c r="D360" t="s">
        <v>645</v>
      </c>
      <c r="E360" t="s">
        <v>631</v>
      </c>
      <c r="F360" t="s">
        <v>630</v>
      </c>
      <c r="G360">
        <v>4691</v>
      </c>
      <c r="H360">
        <v>0</v>
      </c>
      <c r="I360">
        <v>100</v>
      </c>
      <c r="J360">
        <v>360</v>
      </c>
      <c r="K360">
        <v>1</v>
      </c>
      <c r="L360" t="s">
        <v>646</v>
      </c>
      <c r="M360" t="s">
        <v>633</v>
      </c>
    </row>
    <row r="361" spans="1:13" x14ac:dyDescent="0.3">
      <c r="A361" t="s">
        <v>1114</v>
      </c>
      <c r="B361" t="s">
        <v>629</v>
      </c>
      <c r="C361" t="s">
        <v>630</v>
      </c>
      <c r="D361">
        <v>2</v>
      </c>
      <c r="E361" t="s">
        <v>631</v>
      </c>
      <c r="F361" t="s">
        <v>630</v>
      </c>
      <c r="G361">
        <v>5532</v>
      </c>
      <c r="H361">
        <v>4648</v>
      </c>
      <c r="I361">
        <v>162</v>
      </c>
      <c r="J361">
        <v>360</v>
      </c>
      <c r="K361">
        <v>1</v>
      </c>
      <c r="L361" t="s">
        <v>636</v>
      </c>
      <c r="M361" t="s">
        <v>633</v>
      </c>
    </row>
    <row r="362" spans="1:13" x14ac:dyDescent="0.3">
      <c r="A362" t="s">
        <v>1115</v>
      </c>
      <c r="B362" t="s">
        <v>629</v>
      </c>
      <c r="C362" t="s">
        <v>635</v>
      </c>
      <c r="D362">
        <v>2</v>
      </c>
      <c r="E362" t="s">
        <v>631</v>
      </c>
      <c r="F362" t="s">
        <v>635</v>
      </c>
      <c r="G362">
        <v>16525</v>
      </c>
      <c r="H362">
        <v>1014</v>
      </c>
      <c r="I362">
        <v>150</v>
      </c>
      <c r="J362">
        <v>360</v>
      </c>
      <c r="K362">
        <v>1</v>
      </c>
      <c r="L362" t="s">
        <v>636</v>
      </c>
      <c r="M362" t="s">
        <v>633</v>
      </c>
    </row>
    <row r="363" spans="1:13" x14ac:dyDescent="0.3">
      <c r="A363" t="s">
        <v>1116</v>
      </c>
      <c r="B363" t="s">
        <v>629</v>
      </c>
      <c r="C363" t="s">
        <v>635</v>
      </c>
      <c r="D363">
        <v>2</v>
      </c>
      <c r="E363" t="s">
        <v>631</v>
      </c>
      <c r="F363" t="s">
        <v>630</v>
      </c>
      <c r="G363">
        <v>6700</v>
      </c>
      <c r="H363">
        <v>1750</v>
      </c>
      <c r="I363">
        <v>230</v>
      </c>
      <c r="J363">
        <v>300</v>
      </c>
      <c r="K363">
        <v>1</v>
      </c>
      <c r="L363" t="s">
        <v>646</v>
      </c>
      <c r="M363" t="s">
        <v>633</v>
      </c>
    </row>
    <row r="364" spans="1:13" x14ac:dyDescent="0.3">
      <c r="A364" t="s">
        <v>1118</v>
      </c>
      <c r="B364" t="s">
        <v>629</v>
      </c>
      <c r="C364" t="s">
        <v>635</v>
      </c>
      <c r="D364">
        <v>1</v>
      </c>
      <c r="E364" t="s">
        <v>631</v>
      </c>
      <c r="F364" t="s">
        <v>635</v>
      </c>
      <c r="G364">
        <v>16667</v>
      </c>
      <c r="H364">
        <v>2250</v>
      </c>
      <c r="I364">
        <v>86</v>
      </c>
      <c r="J364">
        <v>360</v>
      </c>
      <c r="K364">
        <v>1</v>
      </c>
      <c r="L364" t="s">
        <v>646</v>
      </c>
      <c r="M364" t="s">
        <v>633</v>
      </c>
    </row>
    <row r="365" spans="1:13" x14ac:dyDescent="0.3">
      <c r="A365" t="s">
        <v>1120</v>
      </c>
      <c r="B365" t="s">
        <v>657</v>
      </c>
      <c r="C365" t="s">
        <v>630</v>
      </c>
      <c r="D365">
        <v>0</v>
      </c>
      <c r="E365" t="s">
        <v>640</v>
      </c>
      <c r="F365" t="s">
        <v>630</v>
      </c>
      <c r="G365">
        <v>4350</v>
      </c>
      <c r="H365">
        <v>0</v>
      </c>
      <c r="I365">
        <v>154</v>
      </c>
      <c r="J365">
        <v>360</v>
      </c>
      <c r="K365">
        <v>1</v>
      </c>
      <c r="L365" t="s">
        <v>636</v>
      </c>
      <c r="M365" t="s">
        <v>633</v>
      </c>
    </row>
    <row r="366" spans="1:13" x14ac:dyDescent="0.3">
      <c r="A366" t="s">
        <v>1121</v>
      </c>
      <c r="B366" t="s">
        <v>629</v>
      </c>
      <c r="C366" t="s">
        <v>635</v>
      </c>
      <c r="D366" t="s">
        <v>645</v>
      </c>
      <c r="E366" t="s">
        <v>640</v>
      </c>
      <c r="F366" t="s">
        <v>630</v>
      </c>
      <c r="G366">
        <v>3095</v>
      </c>
      <c r="H366">
        <v>0</v>
      </c>
      <c r="I366">
        <v>113</v>
      </c>
      <c r="J366">
        <v>360</v>
      </c>
      <c r="K366">
        <v>1</v>
      </c>
      <c r="L366" t="s">
        <v>636</v>
      </c>
      <c r="M366" t="s">
        <v>633</v>
      </c>
    </row>
    <row r="367" spans="1:13" x14ac:dyDescent="0.3">
      <c r="A367" t="s">
        <v>1122</v>
      </c>
      <c r="B367" t="s">
        <v>629</v>
      </c>
      <c r="C367" t="s">
        <v>635</v>
      </c>
      <c r="D367">
        <v>0</v>
      </c>
      <c r="E367" t="s">
        <v>631</v>
      </c>
      <c r="F367" t="s">
        <v>630</v>
      </c>
      <c r="G367">
        <v>2083</v>
      </c>
      <c r="H367">
        <v>3150</v>
      </c>
      <c r="I367">
        <v>128</v>
      </c>
      <c r="J367">
        <v>360</v>
      </c>
      <c r="K367">
        <v>1</v>
      </c>
      <c r="L367" t="s">
        <v>646</v>
      </c>
      <c r="M367" t="s">
        <v>633</v>
      </c>
    </row>
    <row r="368" spans="1:13" x14ac:dyDescent="0.3">
      <c r="A368" t="s">
        <v>1123</v>
      </c>
      <c r="B368" t="s">
        <v>629</v>
      </c>
      <c r="C368" t="s">
        <v>635</v>
      </c>
      <c r="D368">
        <v>0</v>
      </c>
      <c r="E368" t="s">
        <v>631</v>
      </c>
      <c r="F368" t="s">
        <v>630</v>
      </c>
      <c r="G368">
        <v>10833</v>
      </c>
      <c r="H368">
        <v>0</v>
      </c>
      <c r="I368">
        <v>234</v>
      </c>
      <c r="J368">
        <v>360</v>
      </c>
      <c r="K368">
        <v>1</v>
      </c>
      <c r="L368" t="s">
        <v>646</v>
      </c>
      <c r="M368" t="s">
        <v>633</v>
      </c>
    </row>
    <row r="369" spans="1:13" x14ac:dyDescent="0.3">
      <c r="A369" t="s">
        <v>1124</v>
      </c>
      <c r="B369" t="s">
        <v>629</v>
      </c>
      <c r="C369" t="s">
        <v>635</v>
      </c>
      <c r="D369">
        <v>2</v>
      </c>
      <c r="E369" t="s">
        <v>631</v>
      </c>
      <c r="F369" t="s">
        <v>630</v>
      </c>
      <c r="G369">
        <v>8333</v>
      </c>
      <c r="H369">
        <v>0</v>
      </c>
      <c r="I369">
        <v>246</v>
      </c>
      <c r="J369">
        <v>360</v>
      </c>
      <c r="K369">
        <v>1</v>
      </c>
      <c r="L369" t="s">
        <v>646</v>
      </c>
      <c r="M369" t="s">
        <v>633</v>
      </c>
    </row>
    <row r="370" spans="1:13" x14ac:dyDescent="0.3">
      <c r="A370" t="s">
        <v>1125</v>
      </c>
      <c r="B370" t="s">
        <v>629</v>
      </c>
      <c r="C370" t="s">
        <v>635</v>
      </c>
      <c r="D370">
        <v>1</v>
      </c>
      <c r="E370" t="s">
        <v>640</v>
      </c>
      <c r="F370" t="s">
        <v>630</v>
      </c>
      <c r="G370">
        <v>1958</v>
      </c>
      <c r="H370">
        <v>2436</v>
      </c>
      <c r="I370">
        <v>131</v>
      </c>
      <c r="J370">
        <v>360</v>
      </c>
      <c r="K370">
        <v>1</v>
      </c>
      <c r="L370" t="s">
        <v>636</v>
      </c>
      <c r="M370" t="s">
        <v>633</v>
      </c>
    </row>
    <row r="371" spans="1:13" x14ac:dyDescent="0.3">
      <c r="A371" t="s">
        <v>1126</v>
      </c>
      <c r="B371" t="s">
        <v>629</v>
      </c>
      <c r="C371" t="s">
        <v>630</v>
      </c>
      <c r="D371">
        <v>2</v>
      </c>
      <c r="E371" t="s">
        <v>631</v>
      </c>
      <c r="F371" t="s">
        <v>630</v>
      </c>
      <c r="G371">
        <v>3547</v>
      </c>
      <c r="H371">
        <v>0</v>
      </c>
      <c r="I371">
        <v>80</v>
      </c>
      <c r="J371">
        <v>360</v>
      </c>
      <c r="K371">
        <v>0</v>
      </c>
      <c r="L371" t="s">
        <v>636</v>
      </c>
      <c r="M371" t="s">
        <v>637</v>
      </c>
    </row>
    <row r="372" spans="1:13" x14ac:dyDescent="0.3">
      <c r="A372" t="s">
        <v>1127</v>
      </c>
      <c r="B372" t="s">
        <v>629</v>
      </c>
      <c r="C372" t="s">
        <v>635</v>
      </c>
      <c r="D372">
        <v>1</v>
      </c>
      <c r="E372" t="s">
        <v>631</v>
      </c>
      <c r="F372" t="s">
        <v>630</v>
      </c>
      <c r="G372">
        <v>18333</v>
      </c>
      <c r="H372">
        <v>0</v>
      </c>
      <c r="I372">
        <v>500</v>
      </c>
      <c r="J372">
        <v>360</v>
      </c>
      <c r="K372">
        <v>1</v>
      </c>
      <c r="L372" t="s">
        <v>632</v>
      </c>
      <c r="M372" t="s">
        <v>637</v>
      </c>
    </row>
    <row r="373" spans="1:13" x14ac:dyDescent="0.3">
      <c r="A373" t="s">
        <v>1128</v>
      </c>
      <c r="B373" t="s">
        <v>629</v>
      </c>
      <c r="C373" t="s">
        <v>635</v>
      </c>
      <c r="D373">
        <v>2</v>
      </c>
      <c r="E373" t="s">
        <v>631</v>
      </c>
      <c r="F373" t="s">
        <v>635</v>
      </c>
      <c r="G373">
        <v>4583</v>
      </c>
      <c r="H373">
        <v>2083</v>
      </c>
      <c r="I373">
        <v>160</v>
      </c>
      <c r="J373">
        <v>360</v>
      </c>
      <c r="K373">
        <v>1</v>
      </c>
      <c r="L373" t="s">
        <v>646</v>
      </c>
      <c r="M373" t="s">
        <v>633</v>
      </c>
    </row>
    <row r="374" spans="1:13" x14ac:dyDescent="0.3">
      <c r="A374" t="s">
        <v>1129</v>
      </c>
      <c r="B374" t="s">
        <v>629</v>
      </c>
      <c r="C374" t="s">
        <v>630</v>
      </c>
      <c r="D374">
        <v>0</v>
      </c>
      <c r="E374" t="s">
        <v>631</v>
      </c>
      <c r="F374" t="s">
        <v>630</v>
      </c>
      <c r="G374">
        <v>2435</v>
      </c>
      <c r="H374">
        <v>0</v>
      </c>
      <c r="I374">
        <v>75</v>
      </c>
      <c r="J374">
        <v>360</v>
      </c>
      <c r="K374">
        <v>1</v>
      </c>
      <c r="L374" t="s">
        <v>632</v>
      </c>
      <c r="M374" t="s">
        <v>637</v>
      </c>
    </row>
    <row r="375" spans="1:13" x14ac:dyDescent="0.3">
      <c r="A375" t="s">
        <v>1132</v>
      </c>
      <c r="B375" t="s">
        <v>629</v>
      </c>
      <c r="C375" t="s">
        <v>630</v>
      </c>
      <c r="D375">
        <v>0</v>
      </c>
      <c r="E375" t="s">
        <v>640</v>
      </c>
      <c r="F375" t="s">
        <v>630</v>
      </c>
      <c r="G375">
        <v>3691</v>
      </c>
      <c r="H375">
        <v>0</v>
      </c>
      <c r="I375">
        <v>110</v>
      </c>
      <c r="J375">
        <v>360</v>
      </c>
      <c r="K375">
        <v>1</v>
      </c>
      <c r="L375" t="s">
        <v>636</v>
      </c>
      <c r="M375" t="s">
        <v>633</v>
      </c>
    </row>
    <row r="376" spans="1:13" x14ac:dyDescent="0.3">
      <c r="A376" t="s">
        <v>1133</v>
      </c>
      <c r="B376" t="s">
        <v>657</v>
      </c>
      <c r="C376" t="s">
        <v>630</v>
      </c>
      <c r="D376">
        <v>0</v>
      </c>
      <c r="E376" t="s">
        <v>640</v>
      </c>
      <c r="F376" t="s">
        <v>635</v>
      </c>
      <c r="G376">
        <v>17263</v>
      </c>
      <c r="H376">
        <v>0</v>
      </c>
      <c r="I376">
        <v>225</v>
      </c>
      <c r="J376">
        <v>360</v>
      </c>
      <c r="K376">
        <v>1</v>
      </c>
      <c r="L376" t="s">
        <v>646</v>
      </c>
      <c r="M376" t="s">
        <v>633</v>
      </c>
    </row>
    <row r="377" spans="1:13" x14ac:dyDescent="0.3">
      <c r="A377" t="s">
        <v>1134</v>
      </c>
      <c r="B377" t="s">
        <v>629</v>
      </c>
      <c r="C377" t="s">
        <v>635</v>
      </c>
      <c r="D377">
        <v>0</v>
      </c>
      <c r="E377" t="s">
        <v>631</v>
      </c>
      <c r="F377" t="s">
        <v>630</v>
      </c>
      <c r="G377">
        <v>3597</v>
      </c>
      <c r="H377">
        <v>2157</v>
      </c>
      <c r="I377">
        <v>119</v>
      </c>
      <c r="J377">
        <v>360</v>
      </c>
      <c r="K377">
        <v>0</v>
      </c>
      <c r="L377" t="s">
        <v>636</v>
      </c>
      <c r="M377" t="s">
        <v>637</v>
      </c>
    </row>
    <row r="378" spans="1:13" x14ac:dyDescent="0.3">
      <c r="A378" t="s">
        <v>1135</v>
      </c>
      <c r="B378" t="s">
        <v>657</v>
      </c>
      <c r="C378" t="s">
        <v>635</v>
      </c>
      <c r="D378">
        <v>1</v>
      </c>
      <c r="E378" t="s">
        <v>631</v>
      </c>
      <c r="F378" t="s">
        <v>630</v>
      </c>
      <c r="G378">
        <v>3326</v>
      </c>
      <c r="H378">
        <v>913</v>
      </c>
      <c r="I378">
        <v>105</v>
      </c>
      <c r="J378">
        <v>84</v>
      </c>
      <c r="K378">
        <v>1</v>
      </c>
      <c r="L378" t="s">
        <v>646</v>
      </c>
      <c r="M378" t="s">
        <v>633</v>
      </c>
    </row>
    <row r="379" spans="1:13" x14ac:dyDescent="0.3">
      <c r="A379" t="s">
        <v>1136</v>
      </c>
      <c r="B379" t="s">
        <v>629</v>
      </c>
      <c r="C379" t="s">
        <v>635</v>
      </c>
      <c r="D379">
        <v>0</v>
      </c>
      <c r="E379" t="s">
        <v>640</v>
      </c>
      <c r="F379" t="s">
        <v>630</v>
      </c>
      <c r="G379">
        <v>2600</v>
      </c>
      <c r="H379">
        <v>1700</v>
      </c>
      <c r="I379">
        <v>107</v>
      </c>
      <c r="J379">
        <v>360</v>
      </c>
      <c r="K379">
        <v>1</v>
      </c>
      <c r="L379" t="s">
        <v>636</v>
      </c>
      <c r="M379" t="s">
        <v>633</v>
      </c>
    </row>
    <row r="380" spans="1:13" x14ac:dyDescent="0.3">
      <c r="A380" t="s">
        <v>1138</v>
      </c>
      <c r="B380" t="s">
        <v>629</v>
      </c>
      <c r="C380" t="s">
        <v>635</v>
      </c>
      <c r="D380">
        <v>1</v>
      </c>
      <c r="E380" t="s">
        <v>631</v>
      </c>
      <c r="F380" t="s">
        <v>635</v>
      </c>
      <c r="G380">
        <v>2895</v>
      </c>
      <c r="H380">
        <v>0</v>
      </c>
      <c r="I380">
        <v>95</v>
      </c>
      <c r="J380">
        <v>360</v>
      </c>
      <c r="K380">
        <v>1</v>
      </c>
      <c r="L380" t="s">
        <v>646</v>
      </c>
      <c r="M380" t="s">
        <v>633</v>
      </c>
    </row>
    <row r="381" spans="1:13" x14ac:dyDescent="0.3">
      <c r="A381" t="s">
        <v>1139</v>
      </c>
      <c r="B381" t="s">
        <v>629</v>
      </c>
      <c r="C381" t="s">
        <v>630</v>
      </c>
      <c r="D381">
        <v>0</v>
      </c>
      <c r="E381" t="s">
        <v>631</v>
      </c>
      <c r="F381" t="s">
        <v>630</v>
      </c>
      <c r="G381">
        <v>6283</v>
      </c>
      <c r="H381">
        <v>4416</v>
      </c>
      <c r="I381">
        <v>209</v>
      </c>
      <c r="J381">
        <v>360</v>
      </c>
      <c r="K381">
        <v>0</v>
      </c>
      <c r="L381" t="s">
        <v>636</v>
      </c>
      <c r="M381" t="s">
        <v>637</v>
      </c>
    </row>
    <row r="382" spans="1:13" x14ac:dyDescent="0.3">
      <c r="A382" t="s">
        <v>1140</v>
      </c>
      <c r="B382" t="s">
        <v>657</v>
      </c>
      <c r="C382" t="s">
        <v>630</v>
      </c>
      <c r="D382">
        <v>0</v>
      </c>
      <c r="E382" t="s">
        <v>631</v>
      </c>
      <c r="F382" t="s">
        <v>630</v>
      </c>
      <c r="G382">
        <v>645</v>
      </c>
      <c r="H382">
        <v>3683</v>
      </c>
      <c r="I382">
        <v>113</v>
      </c>
      <c r="J382">
        <v>480</v>
      </c>
      <c r="K382">
        <v>1</v>
      </c>
      <c r="L382" t="s">
        <v>636</v>
      </c>
      <c r="M382" t="s">
        <v>633</v>
      </c>
    </row>
    <row r="383" spans="1:13" x14ac:dyDescent="0.3">
      <c r="A383" t="s">
        <v>1141</v>
      </c>
      <c r="B383" t="s">
        <v>657</v>
      </c>
      <c r="C383" t="s">
        <v>630</v>
      </c>
      <c r="D383">
        <v>0</v>
      </c>
      <c r="E383" t="s">
        <v>631</v>
      </c>
      <c r="F383" t="s">
        <v>630</v>
      </c>
      <c r="G383">
        <v>3159</v>
      </c>
      <c r="H383">
        <v>0</v>
      </c>
      <c r="I383">
        <v>100</v>
      </c>
      <c r="J383">
        <v>360</v>
      </c>
      <c r="K383">
        <v>1</v>
      </c>
      <c r="L383" t="s">
        <v>646</v>
      </c>
      <c r="M383" t="s">
        <v>633</v>
      </c>
    </row>
    <row r="384" spans="1:13" x14ac:dyDescent="0.3">
      <c r="A384" t="s">
        <v>1142</v>
      </c>
      <c r="B384" t="s">
        <v>629</v>
      </c>
      <c r="C384" t="s">
        <v>635</v>
      </c>
      <c r="D384">
        <v>2</v>
      </c>
      <c r="E384" t="s">
        <v>631</v>
      </c>
      <c r="F384" t="s">
        <v>630</v>
      </c>
      <c r="G384">
        <v>4865</v>
      </c>
      <c r="H384">
        <v>5624</v>
      </c>
      <c r="I384">
        <v>208</v>
      </c>
      <c r="J384">
        <v>360</v>
      </c>
      <c r="K384">
        <v>1</v>
      </c>
      <c r="L384" t="s">
        <v>646</v>
      </c>
      <c r="M384" t="s">
        <v>633</v>
      </c>
    </row>
    <row r="385" spans="1:13" x14ac:dyDescent="0.3">
      <c r="A385" t="s">
        <v>1144</v>
      </c>
      <c r="B385" t="s">
        <v>629</v>
      </c>
      <c r="C385" t="s">
        <v>635</v>
      </c>
      <c r="D385">
        <v>0</v>
      </c>
      <c r="E385" t="s">
        <v>640</v>
      </c>
      <c r="F385" t="s">
        <v>630</v>
      </c>
      <c r="G385">
        <v>3814</v>
      </c>
      <c r="H385">
        <v>1483</v>
      </c>
      <c r="I385">
        <v>124</v>
      </c>
      <c r="J385">
        <v>300</v>
      </c>
      <c r="K385">
        <v>1</v>
      </c>
      <c r="L385" t="s">
        <v>646</v>
      </c>
      <c r="M385" t="s">
        <v>633</v>
      </c>
    </row>
    <row r="386" spans="1:13" x14ac:dyDescent="0.3">
      <c r="A386" t="s">
        <v>1145</v>
      </c>
      <c r="B386" t="s">
        <v>629</v>
      </c>
      <c r="C386" t="s">
        <v>635</v>
      </c>
      <c r="D386">
        <v>2</v>
      </c>
      <c r="E386" t="s">
        <v>631</v>
      </c>
      <c r="F386" t="s">
        <v>630</v>
      </c>
      <c r="G386">
        <v>3510</v>
      </c>
      <c r="H386">
        <v>4416</v>
      </c>
      <c r="I386">
        <v>243</v>
      </c>
      <c r="J386">
        <v>360</v>
      </c>
      <c r="K386">
        <v>1</v>
      </c>
      <c r="L386" t="s">
        <v>636</v>
      </c>
      <c r="M386" t="s">
        <v>633</v>
      </c>
    </row>
    <row r="387" spans="1:13" x14ac:dyDescent="0.3">
      <c r="A387" t="s">
        <v>1148</v>
      </c>
      <c r="B387" t="s">
        <v>629</v>
      </c>
      <c r="C387" t="s">
        <v>635</v>
      </c>
      <c r="D387">
        <v>0</v>
      </c>
      <c r="E387" t="s">
        <v>631</v>
      </c>
      <c r="F387" t="s">
        <v>635</v>
      </c>
      <c r="G387">
        <v>2479</v>
      </c>
      <c r="H387">
        <v>3013</v>
      </c>
      <c r="I387">
        <v>188</v>
      </c>
      <c r="J387">
        <v>360</v>
      </c>
      <c r="K387">
        <v>1</v>
      </c>
      <c r="L387" t="s">
        <v>632</v>
      </c>
      <c r="M387" t="s">
        <v>633</v>
      </c>
    </row>
    <row r="388" spans="1:13" x14ac:dyDescent="0.3">
      <c r="A388" t="s">
        <v>1149</v>
      </c>
      <c r="B388" t="s">
        <v>657</v>
      </c>
      <c r="C388" t="s">
        <v>630</v>
      </c>
      <c r="D388">
        <v>1</v>
      </c>
      <c r="E388" t="s">
        <v>631</v>
      </c>
      <c r="F388" t="s">
        <v>630</v>
      </c>
      <c r="G388">
        <v>13262</v>
      </c>
      <c r="H388">
        <v>0</v>
      </c>
      <c r="I388">
        <v>40</v>
      </c>
      <c r="J388">
        <v>360</v>
      </c>
      <c r="K388">
        <v>1</v>
      </c>
      <c r="L388" t="s">
        <v>632</v>
      </c>
      <c r="M388" t="s">
        <v>633</v>
      </c>
    </row>
    <row r="389" spans="1:13" x14ac:dyDescent="0.3">
      <c r="A389" t="s">
        <v>1150</v>
      </c>
      <c r="B389" t="s">
        <v>629</v>
      </c>
      <c r="C389" t="s">
        <v>630</v>
      </c>
      <c r="D389">
        <v>0</v>
      </c>
      <c r="E389" t="s">
        <v>640</v>
      </c>
      <c r="F389" t="s">
        <v>630</v>
      </c>
      <c r="G389">
        <v>3598</v>
      </c>
      <c r="H389">
        <v>1287</v>
      </c>
      <c r="I389">
        <v>100</v>
      </c>
      <c r="J389">
        <v>360</v>
      </c>
      <c r="K389">
        <v>1</v>
      </c>
      <c r="L389" t="s">
        <v>636</v>
      </c>
      <c r="M389" t="s">
        <v>637</v>
      </c>
    </row>
    <row r="390" spans="1:13" x14ac:dyDescent="0.3">
      <c r="A390" t="s">
        <v>1151</v>
      </c>
      <c r="B390" t="s">
        <v>629</v>
      </c>
      <c r="C390" t="s">
        <v>635</v>
      </c>
      <c r="D390">
        <v>1</v>
      </c>
      <c r="E390" t="s">
        <v>631</v>
      </c>
      <c r="F390" t="s">
        <v>630</v>
      </c>
      <c r="G390">
        <v>6065</v>
      </c>
      <c r="H390">
        <v>2004</v>
      </c>
      <c r="I390">
        <v>250</v>
      </c>
      <c r="J390">
        <v>360</v>
      </c>
      <c r="K390">
        <v>1</v>
      </c>
      <c r="L390" t="s">
        <v>646</v>
      </c>
      <c r="M390" t="s">
        <v>633</v>
      </c>
    </row>
    <row r="391" spans="1:13" x14ac:dyDescent="0.3">
      <c r="A391" t="s">
        <v>1152</v>
      </c>
      <c r="B391" t="s">
        <v>629</v>
      </c>
      <c r="C391" t="s">
        <v>635</v>
      </c>
      <c r="D391">
        <v>2</v>
      </c>
      <c r="E391" t="s">
        <v>631</v>
      </c>
      <c r="F391" t="s">
        <v>630</v>
      </c>
      <c r="G391">
        <v>3283</v>
      </c>
      <c r="H391">
        <v>2035</v>
      </c>
      <c r="I391">
        <v>148</v>
      </c>
      <c r="J391">
        <v>360</v>
      </c>
      <c r="K391">
        <v>1</v>
      </c>
      <c r="L391" t="s">
        <v>632</v>
      </c>
      <c r="M391" t="s">
        <v>633</v>
      </c>
    </row>
    <row r="392" spans="1:13" x14ac:dyDescent="0.3">
      <c r="A392" t="s">
        <v>1153</v>
      </c>
      <c r="B392" t="s">
        <v>629</v>
      </c>
      <c r="C392" t="s">
        <v>635</v>
      </c>
      <c r="D392">
        <v>0</v>
      </c>
      <c r="E392" t="s">
        <v>631</v>
      </c>
      <c r="F392" t="s">
        <v>630</v>
      </c>
      <c r="G392">
        <v>2130</v>
      </c>
      <c r="H392">
        <v>6666</v>
      </c>
      <c r="I392">
        <v>70</v>
      </c>
      <c r="J392">
        <v>180</v>
      </c>
      <c r="K392">
        <v>1</v>
      </c>
      <c r="L392" t="s">
        <v>646</v>
      </c>
      <c r="M392" t="s">
        <v>637</v>
      </c>
    </row>
    <row r="393" spans="1:13" x14ac:dyDescent="0.3">
      <c r="A393" t="s">
        <v>1154</v>
      </c>
      <c r="B393" t="s">
        <v>629</v>
      </c>
      <c r="C393" t="s">
        <v>630</v>
      </c>
      <c r="D393">
        <v>0</v>
      </c>
      <c r="E393" t="s">
        <v>631</v>
      </c>
      <c r="F393" t="s">
        <v>630</v>
      </c>
      <c r="G393">
        <v>5815</v>
      </c>
      <c r="H393">
        <v>3666</v>
      </c>
      <c r="I393">
        <v>311</v>
      </c>
      <c r="J393">
        <v>360</v>
      </c>
      <c r="K393">
        <v>1</v>
      </c>
      <c r="L393" t="s">
        <v>636</v>
      </c>
      <c r="M393" t="s">
        <v>637</v>
      </c>
    </row>
    <row r="394" spans="1:13" x14ac:dyDescent="0.3">
      <c r="A394" t="s">
        <v>1155</v>
      </c>
      <c r="B394" t="s">
        <v>629</v>
      </c>
      <c r="C394" t="s">
        <v>635</v>
      </c>
      <c r="D394" t="s">
        <v>645</v>
      </c>
      <c r="E394" t="s">
        <v>631</v>
      </c>
      <c r="F394" t="s">
        <v>630</v>
      </c>
      <c r="G394">
        <v>3466</v>
      </c>
      <c r="H394">
        <v>3428</v>
      </c>
      <c r="I394">
        <v>150</v>
      </c>
      <c r="J394">
        <v>360</v>
      </c>
      <c r="K394">
        <v>1</v>
      </c>
      <c r="L394" t="s">
        <v>636</v>
      </c>
      <c r="M394" t="s">
        <v>633</v>
      </c>
    </row>
    <row r="395" spans="1:13" x14ac:dyDescent="0.3">
      <c r="A395" t="s">
        <v>1156</v>
      </c>
      <c r="B395" t="s">
        <v>657</v>
      </c>
      <c r="C395" t="s">
        <v>635</v>
      </c>
      <c r="D395">
        <v>2</v>
      </c>
      <c r="E395" t="s">
        <v>631</v>
      </c>
      <c r="F395" t="s">
        <v>630</v>
      </c>
      <c r="G395">
        <v>2031</v>
      </c>
      <c r="H395">
        <v>1632</v>
      </c>
      <c r="I395">
        <v>113</v>
      </c>
      <c r="J395">
        <v>480</v>
      </c>
      <c r="K395">
        <v>1</v>
      </c>
      <c r="L395" t="s">
        <v>646</v>
      </c>
      <c r="M395" t="s">
        <v>633</v>
      </c>
    </row>
    <row r="396" spans="1:13" x14ac:dyDescent="0.3">
      <c r="A396" t="s">
        <v>1158</v>
      </c>
      <c r="B396" t="s">
        <v>629</v>
      </c>
      <c r="C396" t="s">
        <v>630</v>
      </c>
      <c r="D396">
        <v>0</v>
      </c>
      <c r="E396" t="s">
        <v>631</v>
      </c>
      <c r="F396" t="s">
        <v>630</v>
      </c>
      <c r="G396">
        <v>4683</v>
      </c>
      <c r="H396">
        <v>1915</v>
      </c>
      <c r="I396">
        <v>185</v>
      </c>
      <c r="J396">
        <v>360</v>
      </c>
      <c r="K396">
        <v>1</v>
      </c>
      <c r="L396" t="s">
        <v>646</v>
      </c>
      <c r="M396" t="s">
        <v>637</v>
      </c>
    </row>
    <row r="397" spans="1:13" x14ac:dyDescent="0.3">
      <c r="A397" t="s">
        <v>1159</v>
      </c>
      <c r="B397" t="s">
        <v>657</v>
      </c>
      <c r="C397" t="s">
        <v>630</v>
      </c>
      <c r="D397">
        <v>0</v>
      </c>
      <c r="E397" t="s">
        <v>640</v>
      </c>
      <c r="F397" t="s">
        <v>630</v>
      </c>
      <c r="G397">
        <v>3400</v>
      </c>
      <c r="H397">
        <v>0</v>
      </c>
      <c r="I397">
        <v>95</v>
      </c>
      <c r="J397">
        <v>360</v>
      </c>
      <c r="K397">
        <v>1</v>
      </c>
      <c r="L397" t="s">
        <v>636</v>
      </c>
      <c r="M397" t="s">
        <v>637</v>
      </c>
    </row>
    <row r="398" spans="1:13" x14ac:dyDescent="0.3">
      <c r="A398" t="s">
        <v>1160</v>
      </c>
      <c r="B398" t="s">
        <v>629</v>
      </c>
      <c r="C398" t="s">
        <v>635</v>
      </c>
      <c r="D398">
        <v>2</v>
      </c>
      <c r="E398" t="s">
        <v>640</v>
      </c>
      <c r="F398" t="s">
        <v>630</v>
      </c>
      <c r="G398">
        <v>2192</v>
      </c>
      <c r="H398">
        <v>1742</v>
      </c>
      <c r="I398">
        <v>45</v>
      </c>
      <c r="J398">
        <v>360</v>
      </c>
      <c r="K398">
        <v>1</v>
      </c>
      <c r="L398" t="s">
        <v>646</v>
      </c>
      <c r="M398" t="s">
        <v>633</v>
      </c>
    </row>
    <row r="399" spans="1:13" x14ac:dyDescent="0.3">
      <c r="A399" t="s">
        <v>1161</v>
      </c>
      <c r="B399" t="s">
        <v>629</v>
      </c>
      <c r="C399" t="s">
        <v>630</v>
      </c>
      <c r="D399">
        <v>0</v>
      </c>
      <c r="E399" t="s">
        <v>631</v>
      </c>
      <c r="F399" t="s">
        <v>630</v>
      </c>
      <c r="G399">
        <v>2500</v>
      </c>
      <c r="H399">
        <v>0</v>
      </c>
      <c r="I399">
        <v>55</v>
      </c>
      <c r="J399">
        <v>360</v>
      </c>
      <c r="K399">
        <v>1</v>
      </c>
      <c r="L399" t="s">
        <v>646</v>
      </c>
      <c r="M399" t="s">
        <v>633</v>
      </c>
    </row>
    <row r="400" spans="1:13" x14ac:dyDescent="0.3">
      <c r="A400" t="s">
        <v>1162</v>
      </c>
      <c r="B400" t="s">
        <v>629</v>
      </c>
      <c r="C400" t="s">
        <v>635</v>
      </c>
      <c r="D400" t="s">
        <v>645</v>
      </c>
      <c r="E400" t="s">
        <v>631</v>
      </c>
      <c r="F400" t="s">
        <v>635</v>
      </c>
      <c r="G400">
        <v>5677</v>
      </c>
      <c r="H400">
        <v>1424</v>
      </c>
      <c r="I400">
        <v>100</v>
      </c>
      <c r="J400">
        <v>360</v>
      </c>
      <c r="K400">
        <v>1</v>
      </c>
      <c r="L400" t="s">
        <v>636</v>
      </c>
      <c r="M400" t="s">
        <v>633</v>
      </c>
    </row>
    <row r="401" spans="1:13" x14ac:dyDescent="0.3">
      <c r="A401" t="s">
        <v>1163</v>
      </c>
      <c r="B401" t="s">
        <v>629</v>
      </c>
      <c r="C401" t="s">
        <v>635</v>
      </c>
      <c r="D401">
        <v>2</v>
      </c>
      <c r="E401" t="s">
        <v>631</v>
      </c>
      <c r="F401" t="s">
        <v>635</v>
      </c>
      <c r="G401">
        <v>7948</v>
      </c>
      <c r="H401">
        <v>7166</v>
      </c>
      <c r="I401">
        <v>480</v>
      </c>
      <c r="J401">
        <v>360</v>
      </c>
      <c r="K401">
        <v>1</v>
      </c>
      <c r="L401" t="s">
        <v>636</v>
      </c>
      <c r="M401" t="s">
        <v>633</v>
      </c>
    </row>
    <row r="402" spans="1:13" x14ac:dyDescent="0.3">
      <c r="A402" t="s">
        <v>1165</v>
      </c>
      <c r="B402" t="s">
        <v>629</v>
      </c>
      <c r="C402" t="s">
        <v>635</v>
      </c>
      <c r="D402">
        <v>2</v>
      </c>
      <c r="E402" t="s">
        <v>631</v>
      </c>
      <c r="F402" t="s">
        <v>635</v>
      </c>
      <c r="G402">
        <v>17500</v>
      </c>
      <c r="H402">
        <v>0</v>
      </c>
      <c r="I402">
        <v>400</v>
      </c>
      <c r="J402">
        <v>360</v>
      </c>
      <c r="K402">
        <v>1</v>
      </c>
      <c r="L402" t="s">
        <v>636</v>
      </c>
      <c r="M402" t="s">
        <v>633</v>
      </c>
    </row>
    <row r="403" spans="1:13" x14ac:dyDescent="0.3">
      <c r="A403" t="s">
        <v>1166</v>
      </c>
      <c r="B403" t="s">
        <v>629</v>
      </c>
      <c r="C403" t="s">
        <v>635</v>
      </c>
      <c r="D403">
        <v>0</v>
      </c>
      <c r="E403" t="s">
        <v>631</v>
      </c>
      <c r="F403" t="s">
        <v>630</v>
      </c>
      <c r="G403">
        <v>3775</v>
      </c>
      <c r="H403">
        <v>0</v>
      </c>
      <c r="I403">
        <v>110</v>
      </c>
      <c r="J403">
        <v>360</v>
      </c>
      <c r="K403">
        <v>1</v>
      </c>
      <c r="L403" t="s">
        <v>646</v>
      </c>
      <c r="M403" t="s">
        <v>633</v>
      </c>
    </row>
    <row r="404" spans="1:13" x14ac:dyDescent="0.3">
      <c r="A404" t="s">
        <v>1167</v>
      </c>
      <c r="B404" t="s">
        <v>629</v>
      </c>
      <c r="C404" t="s">
        <v>635</v>
      </c>
      <c r="D404">
        <v>1</v>
      </c>
      <c r="E404" t="s">
        <v>640</v>
      </c>
      <c r="F404" t="s">
        <v>630</v>
      </c>
      <c r="G404">
        <v>5285</v>
      </c>
      <c r="H404">
        <v>1430</v>
      </c>
      <c r="I404">
        <v>161</v>
      </c>
      <c r="J404">
        <v>360</v>
      </c>
      <c r="K404">
        <v>0</v>
      </c>
      <c r="L404" t="s">
        <v>646</v>
      </c>
      <c r="M404" t="s">
        <v>633</v>
      </c>
    </row>
    <row r="405" spans="1:13" x14ac:dyDescent="0.3">
      <c r="A405" t="s">
        <v>1168</v>
      </c>
      <c r="B405" t="s">
        <v>629</v>
      </c>
      <c r="C405" t="s">
        <v>630</v>
      </c>
      <c r="D405">
        <v>1</v>
      </c>
      <c r="E405" t="s">
        <v>640</v>
      </c>
      <c r="F405" t="s">
        <v>630</v>
      </c>
      <c r="G405">
        <v>2679</v>
      </c>
      <c r="H405">
        <v>1302</v>
      </c>
      <c r="I405">
        <v>94</v>
      </c>
      <c r="J405">
        <v>360</v>
      </c>
      <c r="K405">
        <v>1</v>
      </c>
      <c r="L405" t="s">
        <v>646</v>
      </c>
      <c r="M405" t="s">
        <v>633</v>
      </c>
    </row>
    <row r="406" spans="1:13" x14ac:dyDescent="0.3">
      <c r="A406" t="s">
        <v>1169</v>
      </c>
      <c r="B406" t="s">
        <v>629</v>
      </c>
      <c r="C406" t="s">
        <v>630</v>
      </c>
      <c r="D406">
        <v>0</v>
      </c>
      <c r="E406" t="s">
        <v>640</v>
      </c>
      <c r="F406" t="s">
        <v>630</v>
      </c>
      <c r="G406">
        <v>6783</v>
      </c>
      <c r="H406">
        <v>0</v>
      </c>
      <c r="I406">
        <v>130</v>
      </c>
      <c r="J406">
        <v>360</v>
      </c>
      <c r="K406">
        <v>1</v>
      </c>
      <c r="L406" t="s">
        <v>646</v>
      </c>
      <c r="M406" t="s">
        <v>633</v>
      </c>
    </row>
    <row r="407" spans="1:13" x14ac:dyDescent="0.3">
      <c r="A407" t="s">
        <v>1171</v>
      </c>
      <c r="B407" t="s">
        <v>629</v>
      </c>
      <c r="C407" t="s">
        <v>635</v>
      </c>
      <c r="D407" t="s">
        <v>645</v>
      </c>
      <c r="E407" t="s">
        <v>631</v>
      </c>
      <c r="F407" t="s">
        <v>630</v>
      </c>
      <c r="G407">
        <v>4281</v>
      </c>
      <c r="H407">
        <v>0</v>
      </c>
      <c r="I407">
        <v>100</v>
      </c>
      <c r="J407">
        <v>360</v>
      </c>
      <c r="K407">
        <v>1</v>
      </c>
      <c r="L407" t="s">
        <v>632</v>
      </c>
      <c r="M407" t="s">
        <v>633</v>
      </c>
    </row>
    <row r="408" spans="1:13" x14ac:dyDescent="0.3">
      <c r="A408" t="s">
        <v>1172</v>
      </c>
      <c r="B408" t="s">
        <v>629</v>
      </c>
      <c r="C408" t="s">
        <v>630</v>
      </c>
      <c r="D408">
        <v>2</v>
      </c>
      <c r="E408" t="s">
        <v>631</v>
      </c>
      <c r="F408" t="s">
        <v>630</v>
      </c>
      <c r="G408">
        <v>3588</v>
      </c>
      <c r="H408">
        <v>0</v>
      </c>
      <c r="I408">
        <v>110</v>
      </c>
      <c r="J408">
        <v>360</v>
      </c>
      <c r="K408">
        <v>0</v>
      </c>
      <c r="L408" t="s">
        <v>636</v>
      </c>
      <c r="M408" t="s">
        <v>637</v>
      </c>
    </row>
    <row r="409" spans="1:13" x14ac:dyDescent="0.3">
      <c r="A409" t="s">
        <v>1174</v>
      </c>
      <c r="B409" t="s">
        <v>657</v>
      </c>
      <c r="C409" t="s">
        <v>630</v>
      </c>
      <c r="D409">
        <v>0</v>
      </c>
      <c r="E409" t="s">
        <v>640</v>
      </c>
      <c r="F409" t="s">
        <v>635</v>
      </c>
      <c r="G409">
        <v>18165</v>
      </c>
      <c r="H409">
        <v>0</v>
      </c>
      <c r="I409">
        <v>125</v>
      </c>
      <c r="J409">
        <v>360</v>
      </c>
      <c r="K409">
        <v>1</v>
      </c>
      <c r="L409" t="s">
        <v>632</v>
      </c>
      <c r="M409" t="s">
        <v>633</v>
      </c>
    </row>
    <row r="410" spans="1:13" x14ac:dyDescent="0.3">
      <c r="A410" t="s">
        <v>1176</v>
      </c>
      <c r="B410" t="s">
        <v>629</v>
      </c>
      <c r="C410" t="s">
        <v>635</v>
      </c>
      <c r="D410">
        <v>0</v>
      </c>
      <c r="E410" t="s">
        <v>631</v>
      </c>
      <c r="F410" t="s">
        <v>630</v>
      </c>
      <c r="G410">
        <v>6133</v>
      </c>
      <c r="H410">
        <v>3906</v>
      </c>
      <c r="I410">
        <v>324</v>
      </c>
      <c r="J410">
        <v>360</v>
      </c>
      <c r="K410">
        <v>1</v>
      </c>
      <c r="L410" t="s">
        <v>632</v>
      </c>
      <c r="M410" t="s">
        <v>633</v>
      </c>
    </row>
    <row r="411" spans="1:13" x14ac:dyDescent="0.3">
      <c r="A411" t="s">
        <v>1177</v>
      </c>
      <c r="B411" t="s">
        <v>629</v>
      </c>
      <c r="C411" t="s">
        <v>630</v>
      </c>
      <c r="D411">
        <v>2</v>
      </c>
      <c r="E411" t="s">
        <v>631</v>
      </c>
      <c r="F411" t="s">
        <v>630</v>
      </c>
      <c r="G411">
        <v>3617</v>
      </c>
      <c r="H411">
        <v>0</v>
      </c>
      <c r="I411">
        <v>107</v>
      </c>
      <c r="J411">
        <v>360</v>
      </c>
      <c r="K411">
        <v>1</v>
      </c>
      <c r="L411" t="s">
        <v>646</v>
      </c>
      <c r="M411" t="s">
        <v>633</v>
      </c>
    </row>
    <row r="412" spans="1:13" x14ac:dyDescent="0.3">
      <c r="A412" t="s">
        <v>1178</v>
      </c>
      <c r="B412" t="s">
        <v>629</v>
      </c>
      <c r="C412" t="s">
        <v>635</v>
      </c>
      <c r="D412">
        <v>0</v>
      </c>
      <c r="E412" t="s">
        <v>640</v>
      </c>
      <c r="F412" t="s">
        <v>630</v>
      </c>
      <c r="G412">
        <v>2917</v>
      </c>
      <c r="H412">
        <v>536</v>
      </c>
      <c r="I412">
        <v>66</v>
      </c>
      <c r="J412">
        <v>360</v>
      </c>
      <c r="K412">
        <v>1</v>
      </c>
      <c r="L412" t="s">
        <v>636</v>
      </c>
      <c r="M412" t="s">
        <v>637</v>
      </c>
    </row>
    <row r="413" spans="1:13" x14ac:dyDescent="0.3">
      <c r="A413" t="s">
        <v>1179</v>
      </c>
      <c r="B413" t="s">
        <v>629</v>
      </c>
      <c r="C413" t="s">
        <v>635</v>
      </c>
      <c r="D413" t="s">
        <v>645</v>
      </c>
      <c r="E413" t="s">
        <v>631</v>
      </c>
      <c r="F413" t="s">
        <v>630</v>
      </c>
      <c r="G413">
        <v>6417</v>
      </c>
      <c r="H413">
        <v>0</v>
      </c>
      <c r="I413">
        <v>157</v>
      </c>
      <c r="J413">
        <v>180</v>
      </c>
      <c r="K413">
        <v>1</v>
      </c>
      <c r="L413" t="s">
        <v>636</v>
      </c>
      <c r="M413" t="s">
        <v>633</v>
      </c>
    </row>
    <row r="414" spans="1:13" x14ac:dyDescent="0.3">
      <c r="A414" t="s">
        <v>1180</v>
      </c>
      <c r="B414" t="s">
        <v>657</v>
      </c>
      <c r="C414" t="s">
        <v>635</v>
      </c>
      <c r="D414">
        <v>1</v>
      </c>
      <c r="E414" t="s">
        <v>631</v>
      </c>
      <c r="F414" t="s">
        <v>630</v>
      </c>
      <c r="G414">
        <v>4608</v>
      </c>
      <c r="H414">
        <v>2845</v>
      </c>
      <c r="I414">
        <v>140</v>
      </c>
      <c r="J414">
        <v>180</v>
      </c>
      <c r="K414">
        <v>1</v>
      </c>
      <c r="L414" t="s">
        <v>646</v>
      </c>
      <c r="M414" t="s">
        <v>633</v>
      </c>
    </row>
    <row r="415" spans="1:13" x14ac:dyDescent="0.3">
      <c r="A415" t="s">
        <v>1181</v>
      </c>
      <c r="B415" t="s">
        <v>657</v>
      </c>
      <c r="C415" t="s">
        <v>630</v>
      </c>
      <c r="D415">
        <v>0</v>
      </c>
      <c r="E415" t="s">
        <v>631</v>
      </c>
      <c r="F415" t="s">
        <v>630</v>
      </c>
      <c r="G415">
        <v>2138</v>
      </c>
      <c r="H415">
        <v>0</v>
      </c>
      <c r="I415">
        <v>99</v>
      </c>
      <c r="J415">
        <v>360</v>
      </c>
      <c r="K415">
        <v>0</v>
      </c>
      <c r="L415" t="s">
        <v>646</v>
      </c>
      <c r="M415" t="s">
        <v>637</v>
      </c>
    </row>
    <row r="416" spans="1:13" x14ac:dyDescent="0.3">
      <c r="A416" t="s">
        <v>1183</v>
      </c>
      <c r="B416" t="s">
        <v>629</v>
      </c>
      <c r="C416" t="s">
        <v>635</v>
      </c>
      <c r="D416">
        <v>1</v>
      </c>
      <c r="E416" t="s">
        <v>640</v>
      </c>
      <c r="F416" t="s">
        <v>630</v>
      </c>
      <c r="G416">
        <v>2239</v>
      </c>
      <c r="H416">
        <v>2524</v>
      </c>
      <c r="I416">
        <v>128</v>
      </c>
      <c r="J416">
        <v>360</v>
      </c>
      <c r="K416">
        <v>1</v>
      </c>
      <c r="L416" t="s">
        <v>632</v>
      </c>
      <c r="M416" t="s">
        <v>633</v>
      </c>
    </row>
    <row r="417" spans="1:13" x14ac:dyDescent="0.3">
      <c r="A417" t="s">
        <v>1185</v>
      </c>
      <c r="B417" t="s">
        <v>629</v>
      </c>
      <c r="C417" t="s">
        <v>635</v>
      </c>
      <c r="D417">
        <v>0</v>
      </c>
      <c r="E417" t="s">
        <v>631</v>
      </c>
      <c r="F417" t="s">
        <v>630</v>
      </c>
      <c r="G417">
        <v>2768</v>
      </c>
      <c r="H417">
        <v>1950</v>
      </c>
      <c r="I417">
        <v>155</v>
      </c>
      <c r="J417">
        <v>360</v>
      </c>
      <c r="K417">
        <v>1</v>
      </c>
      <c r="L417" t="s">
        <v>636</v>
      </c>
      <c r="M417" t="s">
        <v>633</v>
      </c>
    </row>
    <row r="418" spans="1:13" x14ac:dyDescent="0.3">
      <c r="A418" t="s">
        <v>1186</v>
      </c>
      <c r="B418" t="s">
        <v>629</v>
      </c>
      <c r="C418" t="s">
        <v>630</v>
      </c>
      <c r="D418">
        <v>0</v>
      </c>
      <c r="E418" t="s">
        <v>640</v>
      </c>
      <c r="F418" t="s">
        <v>630</v>
      </c>
      <c r="G418">
        <v>3358</v>
      </c>
      <c r="H418">
        <v>0</v>
      </c>
      <c r="I418">
        <v>80</v>
      </c>
      <c r="J418">
        <v>36</v>
      </c>
      <c r="K418">
        <v>1</v>
      </c>
      <c r="L418" t="s">
        <v>646</v>
      </c>
      <c r="M418" t="s">
        <v>637</v>
      </c>
    </row>
    <row r="419" spans="1:13" x14ac:dyDescent="0.3">
      <c r="A419" t="s">
        <v>1187</v>
      </c>
      <c r="B419" t="s">
        <v>629</v>
      </c>
      <c r="C419" t="s">
        <v>630</v>
      </c>
      <c r="D419">
        <v>0</v>
      </c>
      <c r="E419" t="s">
        <v>631</v>
      </c>
      <c r="F419" t="s">
        <v>630</v>
      </c>
      <c r="G419">
        <v>2526</v>
      </c>
      <c r="H419">
        <v>1783</v>
      </c>
      <c r="I419">
        <v>145</v>
      </c>
      <c r="J419">
        <v>360</v>
      </c>
      <c r="K419">
        <v>1</v>
      </c>
      <c r="L419" t="s">
        <v>636</v>
      </c>
      <c r="M419" t="s">
        <v>633</v>
      </c>
    </row>
    <row r="420" spans="1:13" x14ac:dyDescent="0.3">
      <c r="A420" t="s">
        <v>1188</v>
      </c>
      <c r="B420" t="s">
        <v>657</v>
      </c>
      <c r="C420" t="s">
        <v>630</v>
      </c>
      <c r="D420">
        <v>0</v>
      </c>
      <c r="E420" t="s">
        <v>631</v>
      </c>
      <c r="F420" t="s">
        <v>630</v>
      </c>
      <c r="G420">
        <v>5000</v>
      </c>
      <c r="H420">
        <v>0</v>
      </c>
      <c r="I420">
        <v>103</v>
      </c>
      <c r="J420">
        <v>360</v>
      </c>
      <c r="K420">
        <v>0</v>
      </c>
      <c r="L420" t="s">
        <v>646</v>
      </c>
      <c r="M420" t="s">
        <v>637</v>
      </c>
    </row>
    <row r="421" spans="1:13" x14ac:dyDescent="0.3">
      <c r="A421" t="s">
        <v>1189</v>
      </c>
      <c r="B421" t="s">
        <v>629</v>
      </c>
      <c r="C421" t="s">
        <v>635</v>
      </c>
      <c r="D421">
        <v>0</v>
      </c>
      <c r="E421" t="s">
        <v>631</v>
      </c>
      <c r="F421" t="s">
        <v>630</v>
      </c>
      <c r="G421">
        <v>2785</v>
      </c>
      <c r="H421">
        <v>2016</v>
      </c>
      <c r="I421">
        <v>110</v>
      </c>
      <c r="J421">
        <v>360</v>
      </c>
      <c r="K421">
        <v>1</v>
      </c>
      <c r="L421" t="s">
        <v>636</v>
      </c>
      <c r="M421" t="s">
        <v>633</v>
      </c>
    </row>
    <row r="422" spans="1:13" x14ac:dyDescent="0.3">
      <c r="A422" t="s">
        <v>1192</v>
      </c>
      <c r="B422" t="s">
        <v>629</v>
      </c>
      <c r="C422" t="s">
        <v>635</v>
      </c>
      <c r="D422">
        <v>1</v>
      </c>
      <c r="E422" t="s">
        <v>631</v>
      </c>
      <c r="F422" t="s">
        <v>630</v>
      </c>
      <c r="G422">
        <v>3333</v>
      </c>
      <c r="H422">
        <v>3250</v>
      </c>
      <c r="I422">
        <v>158</v>
      </c>
      <c r="J422">
        <v>360</v>
      </c>
      <c r="K422">
        <v>1</v>
      </c>
      <c r="L422" t="s">
        <v>632</v>
      </c>
      <c r="M422" t="s">
        <v>633</v>
      </c>
    </row>
    <row r="423" spans="1:13" x14ac:dyDescent="0.3">
      <c r="A423" t="s">
        <v>1193</v>
      </c>
      <c r="B423" t="s">
        <v>629</v>
      </c>
      <c r="C423" t="s">
        <v>635</v>
      </c>
      <c r="D423">
        <v>0</v>
      </c>
      <c r="E423" t="s">
        <v>640</v>
      </c>
      <c r="F423" t="s">
        <v>630</v>
      </c>
      <c r="G423">
        <v>2454</v>
      </c>
      <c r="H423">
        <v>2333</v>
      </c>
      <c r="I423">
        <v>181</v>
      </c>
      <c r="J423">
        <v>360</v>
      </c>
      <c r="K423">
        <v>0</v>
      </c>
      <c r="L423" t="s">
        <v>632</v>
      </c>
      <c r="M423" t="s">
        <v>637</v>
      </c>
    </row>
    <row r="424" spans="1:13" x14ac:dyDescent="0.3">
      <c r="A424" t="s">
        <v>1194</v>
      </c>
      <c r="B424" t="s">
        <v>629</v>
      </c>
      <c r="C424" t="s">
        <v>635</v>
      </c>
      <c r="D424">
        <v>0</v>
      </c>
      <c r="E424" t="s">
        <v>631</v>
      </c>
      <c r="F424" t="s">
        <v>630</v>
      </c>
      <c r="G424">
        <v>3593</v>
      </c>
      <c r="H424">
        <v>4266</v>
      </c>
      <c r="I424">
        <v>132</v>
      </c>
      <c r="J424">
        <v>180</v>
      </c>
      <c r="K424">
        <v>0</v>
      </c>
      <c r="L424" t="s">
        <v>636</v>
      </c>
      <c r="M424" t="s">
        <v>637</v>
      </c>
    </row>
    <row r="425" spans="1:13" x14ac:dyDescent="0.3">
      <c r="A425" t="s">
        <v>1195</v>
      </c>
      <c r="B425" t="s">
        <v>629</v>
      </c>
      <c r="C425" t="s">
        <v>635</v>
      </c>
      <c r="D425">
        <v>1</v>
      </c>
      <c r="E425" t="s">
        <v>631</v>
      </c>
      <c r="F425" t="s">
        <v>630</v>
      </c>
      <c r="G425">
        <v>5468</v>
      </c>
      <c r="H425">
        <v>1032</v>
      </c>
      <c r="I425">
        <v>26</v>
      </c>
      <c r="J425">
        <v>360</v>
      </c>
      <c r="K425">
        <v>1</v>
      </c>
      <c r="L425" t="s">
        <v>646</v>
      </c>
      <c r="M425" t="s">
        <v>633</v>
      </c>
    </row>
    <row r="426" spans="1:13" x14ac:dyDescent="0.3">
      <c r="A426" t="s">
        <v>1197</v>
      </c>
      <c r="B426" t="s">
        <v>629</v>
      </c>
      <c r="C426" t="s">
        <v>635</v>
      </c>
      <c r="D426" t="s">
        <v>645</v>
      </c>
      <c r="E426" t="s">
        <v>631</v>
      </c>
      <c r="F426" t="s">
        <v>635</v>
      </c>
      <c r="G426">
        <v>10139</v>
      </c>
      <c r="H426">
        <v>0</v>
      </c>
      <c r="I426">
        <v>260</v>
      </c>
      <c r="J426">
        <v>360</v>
      </c>
      <c r="K426">
        <v>1</v>
      </c>
      <c r="L426" t="s">
        <v>646</v>
      </c>
      <c r="M426" t="s">
        <v>633</v>
      </c>
    </row>
    <row r="427" spans="1:13" x14ac:dyDescent="0.3">
      <c r="A427" t="s">
        <v>1198</v>
      </c>
      <c r="B427" t="s">
        <v>629</v>
      </c>
      <c r="C427" t="s">
        <v>635</v>
      </c>
      <c r="D427">
        <v>0</v>
      </c>
      <c r="E427" t="s">
        <v>631</v>
      </c>
      <c r="F427" t="s">
        <v>630</v>
      </c>
      <c r="G427">
        <v>3887</v>
      </c>
      <c r="H427">
        <v>2669</v>
      </c>
      <c r="I427">
        <v>162</v>
      </c>
      <c r="J427">
        <v>360</v>
      </c>
      <c r="K427">
        <v>1</v>
      </c>
      <c r="L427" t="s">
        <v>646</v>
      </c>
      <c r="M427" t="s">
        <v>633</v>
      </c>
    </row>
    <row r="428" spans="1:13" x14ac:dyDescent="0.3">
      <c r="A428" t="s">
        <v>1199</v>
      </c>
      <c r="B428" t="s">
        <v>657</v>
      </c>
      <c r="C428" t="s">
        <v>635</v>
      </c>
      <c r="D428">
        <v>0</v>
      </c>
      <c r="E428" t="s">
        <v>631</v>
      </c>
      <c r="F428" t="s">
        <v>630</v>
      </c>
      <c r="G428">
        <v>4180</v>
      </c>
      <c r="H428">
        <v>2306</v>
      </c>
      <c r="I428">
        <v>182</v>
      </c>
      <c r="J428">
        <v>360</v>
      </c>
      <c r="K428">
        <v>1</v>
      </c>
      <c r="L428" t="s">
        <v>646</v>
      </c>
      <c r="M428" t="s">
        <v>633</v>
      </c>
    </row>
    <row r="429" spans="1:13" x14ac:dyDescent="0.3">
      <c r="A429" t="s">
        <v>1200</v>
      </c>
      <c r="B429" t="s">
        <v>629</v>
      </c>
      <c r="C429" t="s">
        <v>635</v>
      </c>
      <c r="D429">
        <v>2</v>
      </c>
      <c r="E429" t="s">
        <v>640</v>
      </c>
      <c r="F429" t="s">
        <v>630</v>
      </c>
      <c r="G429">
        <v>3675</v>
      </c>
      <c r="H429">
        <v>242</v>
      </c>
      <c r="I429">
        <v>108</v>
      </c>
      <c r="J429">
        <v>360</v>
      </c>
      <c r="K429">
        <v>1</v>
      </c>
      <c r="L429" t="s">
        <v>646</v>
      </c>
      <c r="M429" t="s">
        <v>633</v>
      </c>
    </row>
    <row r="430" spans="1:13" x14ac:dyDescent="0.3">
      <c r="A430" t="s">
        <v>1201</v>
      </c>
      <c r="B430" t="s">
        <v>657</v>
      </c>
      <c r="C430" t="s">
        <v>635</v>
      </c>
      <c r="D430">
        <v>1</v>
      </c>
      <c r="E430" t="s">
        <v>631</v>
      </c>
      <c r="F430" t="s">
        <v>635</v>
      </c>
      <c r="G430">
        <v>19484</v>
      </c>
      <c r="H430">
        <v>0</v>
      </c>
      <c r="I430">
        <v>600</v>
      </c>
      <c r="J430">
        <v>360</v>
      </c>
      <c r="K430">
        <v>1</v>
      </c>
      <c r="L430" t="s">
        <v>646</v>
      </c>
      <c r="M430" t="s">
        <v>633</v>
      </c>
    </row>
    <row r="431" spans="1:13" x14ac:dyDescent="0.3">
      <c r="A431" t="s">
        <v>1202</v>
      </c>
      <c r="B431" t="s">
        <v>629</v>
      </c>
      <c r="C431" t="s">
        <v>635</v>
      </c>
      <c r="D431">
        <v>0</v>
      </c>
      <c r="E431" t="s">
        <v>631</v>
      </c>
      <c r="F431" t="s">
        <v>630</v>
      </c>
      <c r="G431">
        <v>5923</v>
      </c>
      <c r="H431">
        <v>2054</v>
      </c>
      <c r="I431">
        <v>211</v>
      </c>
      <c r="J431">
        <v>360</v>
      </c>
      <c r="K431">
        <v>1</v>
      </c>
      <c r="L431" t="s">
        <v>636</v>
      </c>
      <c r="M431" t="s">
        <v>633</v>
      </c>
    </row>
    <row r="432" spans="1:13" x14ac:dyDescent="0.3">
      <c r="A432" t="s">
        <v>1203</v>
      </c>
      <c r="B432" t="s">
        <v>629</v>
      </c>
      <c r="C432" t="s">
        <v>630</v>
      </c>
      <c r="D432">
        <v>0</v>
      </c>
      <c r="E432" t="s">
        <v>640</v>
      </c>
      <c r="F432" t="s">
        <v>635</v>
      </c>
      <c r="G432">
        <v>5800</v>
      </c>
      <c r="H432">
        <v>0</v>
      </c>
      <c r="I432">
        <v>132</v>
      </c>
      <c r="J432">
        <v>360</v>
      </c>
      <c r="K432">
        <v>1</v>
      </c>
      <c r="L432" t="s">
        <v>646</v>
      </c>
      <c r="M432" t="s">
        <v>633</v>
      </c>
    </row>
    <row r="433" spans="1:13" x14ac:dyDescent="0.3">
      <c r="A433" t="s">
        <v>1204</v>
      </c>
      <c r="B433" t="s">
        <v>629</v>
      </c>
      <c r="C433" t="s">
        <v>635</v>
      </c>
      <c r="D433">
        <v>2</v>
      </c>
      <c r="E433" t="s">
        <v>631</v>
      </c>
      <c r="F433" t="s">
        <v>630</v>
      </c>
      <c r="G433">
        <v>8799</v>
      </c>
      <c r="H433">
        <v>0</v>
      </c>
      <c r="I433">
        <v>258</v>
      </c>
      <c r="J433">
        <v>360</v>
      </c>
      <c r="K433">
        <v>0</v>
      </c>
      <c r="L433" t="s">
        <v>632</v>
      </c>
      <c r="M433" t="s">
        <v>637</v>
      </c>
    </row>
    <row r="434" spans="1:13" x14ac:dyDescent="0.3">
      <c r="A434" t="s">
        <v>1206</v>
      </c>
      <c r="B434" t="s">
        <v>629</v>
      </c>
      <c r="C434" t="s">
        <v>630</v>
      </c>
      <c r="D434">
        <v>0</v>
      </c>
      <c r="E434" t="s">
        <v>631</v>
      </c>
      <c r="F434" t="s">
        <v>630</v>
      </c>
      <c r="G434">
        <v>3333</v>
      </c>
      <c r="H434">
        <v>0</v>
      </c>
      <c r="I434">
        <v>70</v>
      </c>
      <c r="J434">
        <v>360</v>
      </c>
      <c r="K434">
        <v>1</v>
      </c>
      <c r="L434" t="s">
        <v>632</v>
      </c>
      <c r="M434" t="s">
        <v>633</v>
      </c>
    </row>
    <row r="435" spans="1:13" x14ac:dyDescent="0.3">
      <c r="A435" t="s">
        <v>1207</v>
      </c>
      <c r="B435" t="s">
        <v>629</v>
      </c>
      <c r="C435" t="s">
        <v>635</v>
      </c>
      <c r="D435" t="s">
        <v>645</v>
      </c>
      <c r="E435" t="s">
        <v>631</v>
      </c>
      <c r="F435" t="s">
        <v>630</v>
      </c>
      <c r="G435">
        <v>3400</v>
      </c>
      <c r="H435">
        <v>2500</v>
      </c>
      <c r="I435">
        <v>123</v>
      </c>
      <c r="J435">
        <v>360</v>
      </c>
      <c r="K435">
        <v>0</v>
      </c>
      <c r="L435" t="s">
        <v>636</v>
      </c>
      <c r="M435" t="s">
        <v>637</v>
      </c>
    </row>
    <row r="436" spans="1:13" x14ac:dyDescent="0.3">
      <c r="A436" t="s">
        <v>1208</v>
      </c>
      <c r="B436" t="s">
        <v>657</v>
      </c>
      <c r="C436" t="s">
        <v>630</v>
      </c>
      <c r="D436">
        <v>0</v>
      </c>
      <c r="E436" t="s">
        <v>631</v>
      </c>
      <c r="F436" t="s">
        <v>630</v>
      </c>
      <c r="G436">
        <v>2378</v>
      </c>
      <c r="H436">
        <v>0</v>
      </c>
      <c r="I436">
        <v>9</v>
      </c>
      <c r="J436">
        <v>360</v>
      </c>
      <c r="K436">
        <v>1</v>
      </c>
      <c r="L436" t="s">
        <v>632</v>
      </c>
      <c r="M436" t="s">
        <v>637</v>
      </c>
    </row>
    <row r="437" spans="1:13" x14ac:dyDescent="0.3">
      <c r="A437" t="s">
        <v>1209</v>
      </c>
      <c r="B437" t="s">
        <v>629</v>
      </c>
      <c r="C437" t="s">
        <v>635</v>
      </c>
      <c r="D437">
        <v>0</v>
      </c>
      <c r="E437" t="s">
        <v>631</v>
      </c>
      <c r="F437" t="s">
        <v>630</v>
      </c>
      <c r="G437">
        <v>3166</v>
      </c>
      <c r="H437">
        <v>2064</v>
      </c>
      <c r="I437">
        <v>104</v>
      </c>
      <c r="J437">
        <v>360</v>
      </c>
      <c r="K437">
        <v>0</v>
      </c>
      <c r="L437" t="s">
        <v>632</v>
      </c>
      <c r="M437" t="s">
        <v>637</v>
      </c>
    </row>
    <row r="438" spans="1:13" x14ac:dyDescent="0.3">
      <c r="A438" t="s">
        <v>1210</v>
      </c>
      <c r="B438" t="s">
        <v>629</v>
      </c>
      <c r="C438" t="s">
        <v>635</v>
      </c>
      <c r="D438">
        <v>1</v>
      </c>
      <c r="E438" t="s">
        <v>631</v>
      </c>
      <c r="F438" t="s">
        <v>630</v>
      </c>
      <c r="G438">
        <v>3417</v>
      </c>
      <c r="H438">
        <v>1750</v>
      </c>
      <c r="I438">
        <v>186</v>
      </c>
      <c r="J438">
        <v>360</v>
      </c>
      <c r="K438">
        <v>1</v>
      </c>
      <c r="L438" t="s">
        <v>632</v>
      </c>
      <c r="M438" t="s">
        <v>633</v>
      </c>
    </row>
    <row r="439" spans="1:13" x14ac:dyDescent="0.3">
      <c r="A439" t="s">
        <v>1212</v>
      </c>
      <c r="B439" t="s">
        <v>629</v>
      </c>
      <c r="C439" t="s">
        <v>635</v>
      </c>
      <c r="D439">
        <v>2</v>
      </c>
      <c r="E439" t="s">
        <v>631</v>
      </c>
      <c r="F439" t="s">
        <v>630</v>
      </c>
      <c r="G439">
        <v>16666</v>
      </c>
      <c r="H439">
        <v>0</v>
      </c>
      <c r="I439">
        <v>275</v>
      </c>
      <c r="J439">
        <v>360</v>
      </c>
      <c r="K439">
        <v>1</v>
      </c>
      <c r="L439" t="s">
        <v>632</v>
      </c>
      <c r="M439" t="s">
        <v>633</v>
      </c>
    </row>
    <row r="440" spans="1:13" x14ac:dyDescent="0.3">
      <c r="A440" t="s">
        <v>1213</v>
      </c>
      <c r="B440" t="s">
        <v>629</v>
      </c>
      <c r="C440" t="s">
        <v>635</v>
      </c>
      <c r="D440">
        <v>2</v>
      </c>
      <c r="E440" t="s">
        <v>640</v>
      </c>
      <c r="F440" t="s">
        <v>630</v>
      </c>
      <c r="G440">
        <v>6125</v>
      </c>
      <c r="H440">
        <v>1625</v>
      </c>
      <c r="I440">
        <v>187</v>
      </c>
      <c r="J440">
        <v>480</v>
      </c>
      <c r="K440">
        <v>1</v>
      </c>
      <c r="L440" t="s">
        <v>646</v>
      </c>
      <c r="M440" t="s">
        <v>637</v>
      </c>
    </row>
    <row r="441" spans="1:13" x14ac:dyDescent="0.3">
      <c r="A441" t="s">
        <v>1214</v>
      </c>
      <c r="B441" t="s">
        <v>629</v>
      </c>
      <c r="C441" t="s">
        <v>635</v>
      </c>
      <c r="D441" t="s">
        <v>645</v>
      </c>
      <c r="E441" t="s">
        <v>631</v>
      </c>
      <c r="F441" t="s">
        <v>630</v>
      </c>
      <c r="G441">
        <v>6406</v>
      </c>
      <c r="H441">
        <v>0</v>
      </c>
      <c r="I441">
        <v>150</v>
      </c>
      <c r="J441">
        <v>360</v>
      </c>
      <c r="K441">
        <v>1</v>
      </c>
      <c r="L441" t="s">
        <v>646</v>
      </c>
      <c r="M441" t="s">
        <v>637</v>
      </c>
    </row>
    <row r="442" spans="1:13" x14ac:dyDescent="0.3">
      <c r="A442" t="s">
        <v>1215</v>
      </c>
      <c r="B442" t="s">
        <v>629</v>
      </c>
      <c r="C442" t="s">
        <v>635</v>
      </c>
      <c r="D442">
        <v>2</v>
      </c>
      <c r="E442" t="s">
        <v>631</v>
      </c>
      <c r="F442" t="s">
        <v>630</v>
      </c>
      <c r="G442">
        <v>3159</v>
      </c>
      <c r="H442">
        <v>461</v>
      </c>
      <c r="I442">
        <v>108</v>
      </c>
      <c r="J442">
        <v>84</v>
      </c>
      <c r="K442">
        <v>1</v>
      </c>
      <c r="L442" t="s">
        <v>632</v>
      </c>
      <c r="M442" t="s">
        <v>633</v>
      </c>
    </row>
    <row r="443" spans="1:13" x14ac:dyDescent="0.3">
      <c r="A443" t="s">
        <v>1217</v>
      </c>
      <c r="B443" t="s">
        <v>629</v>
      </c>
      <c r="C443" t="s">
        <v>630</v>
      </c>
      <c r="D443">
        <v>0</v>
      </c>
      <c r="E443" t="s">
        <v>631</v>
      </c>
      <c r="F443" t="s">
        <v>630</v>
      </c>
      <c r="G443">
        <v>3229</v>
      </c>
      <c r="H443">
        <v>2739</v>
      </c>
      <c r="I443">
        <v>110</v>
      </c>
      <c r="J443">
        <v>360</v>
      </c>
      <c r="K443">
        <v>1</v>
      </c>
      <c r="L443" t="s">
        <v>632</v>
      </c>
      <c r="M443" t="s">
        <v>633</v>
      </c>
    </row>
    <row r="444" spans="1:13" x14ac:dyDescent="0.3">
      <c r="A444" t="s">
        <v>1218</v>
      </c>
      <c r="B444" t="s">
        <v>629</v>
      </c>
      <c r="C444" t="s">
        <v>635</v>
      </c>
      <c r="D444">
        <v>1</v>
      </c>
      <c r="E444" t="s">
        <v>631</v>
      </c>
      <c r="F444" t="s">
        <v>630</v>
      </c>
      <c r="G444">
        <v>1782</v>
      </c>
      <c r="H444">
        <v>2232</v>
      </c>
      <c r="I444">
        <v>107</v>
      </c>
      <c r="J444">
        <v>360</v>
      </c>
      <c r="K444">
        <v>1</v>
      </c>
      <c r="L444" t="s">
        <v>636</v>
      </c>
      <c r="M444" t="s">
        <v>633</v>
      </c>
    </row>
    <row r="445" spans="1:13" x14ac:dyDescent="0.3">
      <c r="A445" t="s">
        <v>1220</v>
      </c>
      <c r="B445" t="s">
        <v>629</v>
      </c>
      <c r="C445" t="s">
        <v>635</v>
      </c>
      <c r="D445">
        <v>2</v>
      </c>
      <c r="E445" t="s">
        <v>631</v>
      </c>
      <c r="F445" t="s">
        <v>630</v>
      </c>
      <c r="G445">
        <v>6540</v>
      </c>
      <c r="H445">
        <v>0</v>
      </c>
      <c r="I445">
        <v>205</v>
      </c>
      <c r="J445">
        <v>360</v>
      </c>
      <c r="K445">
        <v>1</v>
      </c>
      <c r="L445" t="s">
        <v>646</v>
      </c>
      <c r="M445" t="s">
        <v>633</v>
      </c>
    </row>
    <row r="446" spans="1:13" x14ac:dyDescent="0.3">
      <c r="A446" t="s">
        <v>1221</v>
      </c>
      <c r="B446" t="s">
        <v>629</v>
      </c>
      <c r="C446" t="s">
        <v>630</v>
      </c>
      <c r="D446">
        <v>0</v>
      </c>
      <c r="E446" t="s">
        <v>631</v>
      </c>
      <c r="F446" t="s">
        <v>630</v>
      </c>
      <c r="G446">
        <v>1836</v>
      </c>
      <c r="H446">
        <v>33837</v>
      </c>
      <c r="I446">
        <v>90</v>
      </c>
      <c r="J446">
        <v>360</v>
      </c>
      <c r="K446">
        <v>1</v>
      </c>
      <c r="L446" t="s">
        <v>632</v>
      </c>
      <c r="M446" t="s">
        <v>637</v>
      </c>
    </row>
    <row r="447" spans="1:13" x14ac:dyDescent="0.3">
      <c r="A447" t="s">
        <v>1222</v>
      </c>
      <c r="B447" t="s">
        <v>657</v>
      </c>
      <c r="C447" t="s">
        <v>635</v>
      </c>
      <c r="D447">
        <v>0</v>
      </c>
      <c r="E447" t="s">
        <v>631</v>
      </c>
      <c r="F447" t="s">
        <v>630</v>
      </c>
      <c r="G447">
        <v>3166</v>
      </c>
      <c r="H447">
        <v>0</v>
      </c>
      <c r="I447">
        <v>36</v>
      </c>
      <c r="J447">
        <v>360</v>
      </c>
      <c r="K447">
        <v>1</v>
      </c>
      <c r="L447" t="s">
        <v>646</v>
      </c>
      <c r="M447" t="s">
        <v>633</v>
      </c>
    </row>
    <row r="448" spans="1:13" x14ac:dyDescent="0.3">
      <c r="A448" t="s">
        <v>1224</v>
      </c>
      <c r="B448" t="s">
        <v>629</v>
      </c>
      <c r="C448" t="s">
        <v>635</v>
      </c>
      <c r="D448">
        <v>1</v>
      </c>
      <c r="E448" t="s">
        <v>631</v>
      </c>
      <c r="F448" t="s">
        <v>630</v>
      </c>
      <c r="G448">
        <v>2787</v>
      </c>
      <c r="H448">
        <v>1917</v>
      </c>
      <c r="I448">
        <v>146</v>
      </c>
      <c r="J448">
        <v>360</v>
      </c>
      <c r="K448">
        <v>0</v>
      </c>
      <c r="L448" t="s">
        <v>636</v>
      </c>
      <c r="M448" t="s">
        <v>637</v>
      </c>
    </row>
    <row r="449" spans="1:13" x14ac:dyDescent="0.3">
      <c r="A449" t="s">
        <v>1225</v>
      </c>
      <c r="B449" t="s">
        <v>629</v>
      </c>
      <c r="C449" t="s">
        <v>635</v>
      </c>
      <c r="D449">
        <v>1</v>
      </c>
      <c r="E449" t="s">
        <v>631</v>
      </c>
      <c r="F449" t="s">
        <v>630</v>
      </c>
      <c r="G449">
        <v>4283</v>
      </c>
      <c r="H449">
        <v>3000</v>
      </c>
      <c r="I449">
        <v>172</v>
      </c>
      <c r="J449">
        <v>84</v>
      </c>
      <c r="K449">
        <v>1</v>
      </c>
      <c r="L449" t="s">
        <v>636</v>
      </c>
      <c r="M449" t="s">
        <v>637</v>
      </c>
    </row>
    <row r="450" spans="1:13" x14ac:dyDescent="0.3">
      <c r="A450" t="s">
        <v>1226</v>
      </c>
      <c r="B450" t="s">
        <v>629</v>
      </c>
      <c r="C450" t="s">
        <v>635</v>
      </c>
      <c r="D450">
        <v>0</v>
      </c>
      <c r="E450" t="s">
        <v>631</v>
      </c>
      <c r="F450" t="s">
        <v>630</v>
      </c>
      <c r="G450">
        <v>2297</v>
      </c>
      <c r="H450">
        <v>1522</v>
      </c>
      <c r="I450">
        <v>104</v>
      </c>
      <c r="J450">
        <v>360</v>
      </c>
      <c r="K450">
        <v>1</v>
      </c>
      <c r="L450" t="s">
        <v>632</v>
      </c>
      <c r="M450" t="s">
        <v>633</v>
      </c>
    </row>
    <row r="451" spans="1:13" x14ac:dyDescent="0.3">
      <c r="A451" t="s">
        <v>1227</v>
      </c>
      <c r="B451" t="s">
        <v>657</v>
      </c>
      <c r="C451" t="s">
        <v>630</v>
      </c>
      <c r="D451">
        <v>0</v>
      </c>
      <c r="E451" t="s">
        <v>640</v>
      </c>
      <c r="F451" t="s">
        <v>630</v>
      </c>
      <c r="G451">
        <v>2165</v>
      </c>
      <c r="H451">
        <v>0</v>
      </c>
      <c r="I451">
        <v>70</v>
      </c>
      <c r="J451">
        <v>360</v>
      </c>
      <c r="K451">
        <v>1</v>
      </c>
      <c r="L451" t="s">
        <v>646</v>
      </c>
      <c r="M451" t="s">
        <v>633</v>
      </c>
    </row>
    <row r="452" spans="1:13" x14ac:dyDescent="0.3">
      <c r="A452" t="s">
        <v>1229</v>
      </c>
      <c r="B452" t="s">
        <v>629</v>
      </c>
      <c r="C452" t="s">
        <v>635</v>
      </c>
      <c r="D452">
        <v>2</v>
      </c>
      <c r="E452" t="s">
        <v>631</v>
      </c>
      <c r="F452" t="s">
        <v>635</v>
      </c>
      <c r="G452">
        <v>2726</v>
      </c>
      <c r="H452">
        <v>0</v>
      </c>
      <c r="I452">
        <v>106</v>
      </c>
      <c r="J452">
        <v>360</v>
      </c>
      <c r="K452">
        <v>0</v>
      </c>
      <c r="L452" t="s">
        <v>646</v>
      </c>
      <c r="M452" t="s">
        <v>637</v>
      </c>
    </row>
    <row r="453" spans="1:13" x14ac:dyDescent="0.3">
      <c r="A453" t="s">
        <v>1230</v>
      </c>
      <c r="B453" t="s">
        <v>629</v>
      </c>
      <c r="C453" t="s">
        <v>635</v>
      </c>
      <c r="D453">
        <v>0</v>
      </c>
      <c r="E453" t="s">
        <v>631</v>
      </c>
      <c r="F453" t="s">
        <v>630</v>
      </c>
      <c r="G453">
        <v>3000</v>
      </c>
      <c r="H453">
        <v>3416</v>
      </c>
      <c r="I453">
        <v>56</v>
      </c>
      <c r="J453">
        <v>180</v>
      </c>
      <c r="K453">
        <v>1</v>
      </c>
      <c r="L453" t="s">
        <v>646</v>
      </c>
      <c r="M453" t="s">
        <v>633</v>
      </c>
    </row>
    <row r="454" spans="1:13" x14ac:dyDescent="0.3">
      <c r="A454" t="s">
        <v>1231</v>
      </c>
      <c r="B454" t="s">
        <v>629</v>
      </c>
      <c r="C454" t="s">
        <v>635</v>
      </c>
      <c r="D454">
        <v>2</v>
      </c>
      <c r="E454" t="s">
        <v>631</v>
      </c>
      <c r="F454" t="s">
        <v>635</v>
      </c>
      <c r="G454">
        <v>6000</v>
      </c>
      <c r="H454">
        <v>0</v>
      </c>
      <c r="I454">
        <v>205</v>
      </c>
      <c r="J454">
        <v>240</v>
      </c>
      <c r="K454">
        <v>1</v>
      </c>
      <c r="L454" t="s">
        <v>646</v>
      </c>
      <c r="M454" t="s">
        <v>637</v>
      </c>
    </row>
    <row r="455" spans="1:13" x14ac:dyDescent="0.3">
      <c r="A455" t="s">
        <v>1233</v>
      </c>
      <c r="B455" t="s">
        <v>629</v>
      </c>
      <c r="C455" t="s">
        <v>635</v>
      </c>
      <c r="D455">
        <v>0</v>
      </c>
      <c r="E455" t="s">
        <v>631</v>
      </c>
      <c r="F455" t="s">
        <v>630</v>
      </c>
      <c r="G455">
        <v>3859</v>
      </c>
      <c r="H455">
        <v>3300</v>
      </c>
      <c r="I455">
        <v>142</v>
      </c>
      <c r="J455">
        <v>180</v>
      </c>
      <c r="K455">
        <v>1</v>
      </c>
      <c r="L455" t="s">
        <v>636</v>
      </c>
      <c r="M455" t="s">
        <v>633</v>
      </c>
    </row>
    <row r="456" spans="1:13" x14ac:dyDescent="0.3">
      <c r="A456" t="s">
        <v>1234</v>
      </c>
      <c r="B456" t="s">
        <v>629</v>
      </c>
      <c r="C456" t="s">
        <v>635</v>
      </c>
      <c r="D456">
        <v>0</v>
      </c>
      <c r="E456" t="s">
        <v>631</v>
      </c>
      <c r="F456" t="s">
        <v>635</v>
      </c>
      <c r="G456">
        <v>16120</v>
      </c>
      <c r="H456">
        <v>0</v>
      </c>
      <c r="I456">
        <v>260</v>
      </c>
      <c r="J456">
        <v>360</v>
      </c>
      <c r="K456">
        <v>1</v>
      </c>
      <c r="L456" t="s">
        <v>632</v>
      </c>
      <c r="M456" t="s">
        <v>633</v>
      </c>
    </row>
    <row r="457" spans="1:13" x14ac:dyDescent="0.3">
      <c r="A457" t="s">
        <v>1235</v>
      </c>
      <c r="B457" t="s">
        <v>629</v>
      </c>
      <c r="C457" t="s">
        <v>630</v>
      </c>
      <c r="D457">
        <v>0</v>
      </c>
      <c r="E457" t="s">
        <v>640</v>
      </c>
      <c r="F457" t="s">
        <v>630</v>
      </c>
      <c r="G457">
        <v>3833</v>
      </c>
      <c r="H457">
        <v>0</v>
      </c>
      <c r="I457">
        <v>110</v>
      </c>
      <c r="J457">
        <v>360</v>
      </c>
      <c r="K457">
        <v>1</v>
      </c>
      <c r="L457" t="s">
        <v>636</v>
      </c>
      <c r="M457" t="s">
        <v>633</v>
      </c>
    </row>
    <row r="458" spans="1:13" x14ac:dyDescent="0.3">
      <c r="A458" t="s">
        <v>1236</v>
      </c>
      <c r="B458" t="s">
        <v>629</v>
      </c>
      <c r="C458" t="s">
        <v>635</v>
      </c>
      <c r="D458">
        <v>2</v>
      </c>
      <c r="E458" t="s">
        <v>640</v>
      </c>
      <c r="F458" t="s">
        <v>635</v>
      </c>
      <c r="G458">
        <v>6383</v>
      </c>
      <c r="H458">
        <v>1000</v>
      </c>
      <c r="I458">
        <v>187</v>
      </c>
      <c r="J458">
        <v>360</v>
      </c>
      <c r="K458">
        <v>1</v>
      </c>
      <c r="L458" t="s">
        <v>636</v>
      </c>
      <c r="M458" t="s">
        <v>637</v>
      </c>
    </row>
    <row r="459" spans="1:13" x14ac:dyDescent="0.3">
      <c r="A459" t="s">
        <v>1238</v>
      </c>
      <c r="B459" t="s">
        <v>629</v>
      </c>
      <c r="C459" t="s">
        <v>635</v>
      </c>
      <c r="D459">
        <v>0</v>
      </c>
      <c r="E459" t="s">
        <v>631</v>
      </c>
      <c r="F459" t="s">
        <v>635</v>
      </c>
      <c r="G459">
        <v>9963</v>
      </c>
      <c r="H459">
        <v>0</v>
      </c>
      <c r="I459">
        <v>180</v>
      </c>
      <c r="J459">
        <v>360</v>
      </c>
      <c r="K459">
        <v>1</v>
      </c>
      <c r="L459" t="s">
        <v>636</v>
      </c>
      <c r="M459" t="s">
        <v>633</v>
      </c>
    </row>
    <row r="460" spans="1:13" x14ac:dyDescent="0.3">
      <c r="A460" t="s">
        <v>1239</v>
      </c>
      <c r="B460" t="s">
        <v>629</v>
      </c>
      <c r="C460" t="s">
        <v>635</v>
      </c>
      <c r="D460">
        <v>2</v>
      </c>
      <c r="E460" t="s">
        <v>631</v>
      </c>
      <c r="F460" t="s">
        <v>630</v>
      </c>
      <c r="G460">
        <v>5780</v>
      </c>
      <c r="H460">
        <v>0</v>
      </c>
      <c r="I460">
        <v>192</v>
      </c>
      <c r="J460">
        <v>360</v>
      </c>
      <c r="K460">
        <v>1</v>
      </c>
      <c r="L460" t="s">
        <v>632</v>
      </c>
      <c r="M460" t="s">
        <v>633</v>
      </c>
    </row>
    <row r="461" spans="1:13" x14ac:dyDescent="0.3">
      <c r="A461" t="s">
        <v>1242</v>
      </c>
      <c r="B461" t="s">
        <v>629</v>
      </c>
      <c r="C461" t="s">
        <v>635</v>
      </c>
      <c r="D461" t="s">
        <v>645</v>
      </c>
      <c r="E461" t="s">
        <v>631</v>
      </c>
      <c r="F461" t="s">
        <v>630</v>
      </c>
      <c r="G461">
        <v>5703</v>
      </c>
      <c r="H461">
        <v>0</v>
      </c>
      <c r="I461">
        <v>128</v>
      </c>
      <c r="J461">
        <v>360</v>
      </c>
      <c r="K461">
        <v>1</v>
      </c>
      <c r="L461" t="s">
        <v>632</v>
      </c>
      <c r="M461" t="s">
        <v>633</v>
      </c>
    </row>
    <row r="462" spans="1:13" x14ac:dyDescent="0.3">
      <c r="A462" t="s">
        <v>1243</v>
      </c>
      <c r="B462" t="s">
        <v>629</v>
      </c>
      <c r="C462" t="s">
        <v>630</v>
      </c>
      <c r="D462">
        <v>0</v>
      </c>
      <c r="E462" t="s">
        <v>631</v>
      </c>
      <c r="F462" t="s">
        <v>630</v>
      </c>
      <c r="G462">
        <v>3676</v>
      </c>
      <c r="H462">
        <v>4301</v>
      </c>
      <c r="I462">
        <v>172</v>
      </c>
      <c r="J462">
        <v>360</v>
      </c>
      <c r="K462">
        <v>1</v>
      </c>
      <c r="L462" t="s">
        <v>636</v>
      </c>
      <c r="M462" t="s">
        <v>633</v>
      </c>
    </row>
    <row r="463" spans="1:13" x14ac:dyDescent="0.3">
      <c r="A463" t="s">
        <v>1244</v>
      </c>
      <c r="B463" t="s">
        <v>657</v>
      </c>
      <c r="C463" t="s">
        <v>635</v>
      </c>
      <c r="D463">
        <v>1</v>
      </c>
      <c r="E463" t="s">
        <v>631</v>
      </c>
      <c r="F463" t="s">
        <v>630</v>
      </c>
      <c r="G463">
        <v>12000</v>
      </c>
      <c r="H463">
        <v>0</v>
      </c>
      <c r="I463">
        <v>496</v>
      </c>
      <c r="J463">
        <v>360</v>
      </c>
      <c r="K463">
        <v>1</v>
      </c>
      <c r="L463" t="s">
        <v>646</v>
      </c>
      <c r="M463" t="s">
        <v>633</v>
      </c>
    </row>
    <row r="464" spans="1:13" x14ac:dyDescent="0.3">
      <c r="A464" t="s">
        <v>1246</v>
      </c>
      <c r="B464" t="s">
        <v>629</v>
      </c>
      <c r="C464" t="s">
        <v>635</v>
      </c>
      <c r="D464">
        <v>1</v>
      </c>
      <c r="E464" t="s">
        <v>631</v>
      </c>
      <c r="F464" t="s">
        <v>630</v>
      </c>
      <c r="G464">
        <v>3400</v>
      </c>
      <c r="H464">
        <v>2500</v>
      </c>
      <c r="I464">
        <v>173</v>
      </c>
      <c r="J464">
        <v>360</v>
      </c>
      <c r="K464">
        <v>1</v>
      </c>
      <c r="L464" t="s">
        <v>646</v>
      </c>
      <c r="M464" t="s">
        <v>633</v>
      </c>
    </row>
    <row r="465" spans="1:13" x14ac:dyDescent="0.3">
      <c r="A465" t="s">
        <v>1247</v>
      </c>
      <c r="B465" t="s">
        <v>629</v>
      </c>
      <c r="C465" t="s">
        <v>635</v>
      </c>
      <c r="D465">
        <v>2</v>
      </c>
      <c r="E465" t="s">
        <v>640</v>
      </c>
      <c r="F465" t="s">
        <v>630</v>
      </c>
      <c r="G465">
        <v>3987</v>
      </c>
      <c r="H465">
        <v>1411</v>
      </c>
      <c r="I465">
        <v>157</v>
      </c>
      <c r="J465">
        <v>360</v>
      </c>
      <c r="K465">
        <v>1</v>
      </c>
      <c r="L465" t="s">
        <v>636</v>
      </c>
      <c r="M465" t="s">
        <v>633</v>
      </c>
    </row>
    <row r="466" spans="1:13" x14ac:dyDescent="0.3">
      <c r="A466" t="s">
        <v>1248</v>
      </c>
      <c r="B466" t="s">
        <v>629</v>
      </c>
      <c r="C466" t="s">
        <v>635</v>
      </c>
      <c r="D466">
        <v>0</v>
      </c>
      <c r="E466" t="s">
        <v>631</v>
      </c>
      <c r="F466" t="s">
        <v>630</v>
      </c>
      <c r="G466">
        <v>3232</v>
      </c>
      <c r="H466">
        <v>1950</v>
      </c>
      <c r="I466">
        <v>108</v>
      </c>
      <c r="J466">
        <v>360</v>
      </c>
      <c r="K466">
        <v>1</v>
      </c>
      <c r="L466" t="s">
        <v>636</v>
      </c>
      <c r="M466" t="s">
        <v>633</v>
      </c>
    </row>
    <row r="467" spans="1:13" x14ac:dyDescent="0.3">
      <c r="A467" t="s">
        <v>1249</v>
      </c>
      <c r="B467" t="s">
        <v>657</v>
      </c>
      <c r="C467" t="s">
        <v>630</v>
      </c>
      <c r="D467">
        <v>0</v>
      </c>
      <c r="E467" t="s">
        <v>631</v>
      </c>
      <c r="F467" t="s">
        <v>630</v>
      </c>
      <c r="G467">
        <v>2900</v>
      </c>
      <c r="H467">
        <v>0</v>
      </c>
      <c r="I467">
        <v>71</v>
      </c>
      <c r="J467">
        <v>360</v>
      </c>
      <c r="K467">
        <v>1</v>
      </c>
      <c r="L467" t="s">
        <v>636</v>
      </c>
      <c r="M467" t="s">
        <v>633</v>
      </c>
    </row>
    <row r="468" spans="1:13" x14ac:dyDescent="0.3">
      <c r="A468" t="s">
        <v>1250</v>
      </c>
      <c r="B468" t="s">
        <v>629</v>
      </c>
      <c r="C468" t="s">
        <v>635</v>
      </c>
      <c r="D468" t="s">
        <v>645</v>
      </c>
      <c r="E468" t="s">
        <v>631</v>
      </c>
      <c r="F468" t="s">
        <v>630</v>
      </c>
      <c r="G468">
        <v>4106</v>
      </c>
      <c r="H468">
        <v>0</v>
      </c>
      <c r="I468">
        <v>40</v>
      </c>
      <c r="J468">
        <v>180</v>
      </c>
      <c r="K468">
        <v>1</v>
      </c>
      <c r="L468" t="s">
        <v>636</v>
      </c>
      <c r="M468" t="s">
        <v>633</v>
      </c>
    </row>
    <row r="469" spans="1:13" x14ac:dyDescent="0.3">
      <c r="A469" t="s">
        <v>1251</v>
      </c>
      <c r="B469" t="s">
        <v>629</v>
      </c>
      <c r="C469" t="s">
        <v>635</v>
      </c>
      <c r="D469">
        <v>1</v>
      </c>
      <c r="E469" t="s">
        <v>631</v>
      </c>
      <c r="F469" t="s">
        <v>630</v>
      </c>
      <c r="G469">
        <v>8072</v>
      </c>
      <c r="H469">
        <v>240</v>
      </c>
      <c r="I469">
        <v>253</v>
      </c>
      <c r="J469">
        <v>360</v>
      </c>
      <c r="K469">
        <v>1</v>
      </c>
      <c r="L469" t="s">
        <v>632</v>
      </c>
      <c r="M469" t="s">
        <v>633</v>
      </c>
    </row>
    <row r="470" spans="1:13" x14ac:dyDescent="0.3">
      <c r="A470" t="s">
        <v>1252</v>
      </c>
      <c r="B470" t="s">
        <v>629</v>
      </c>
      <c r="C470" t="s">
        <v>635</v>
      </c>
      <c r="D470">
        <v>2</v>
      </c>
      <c r="E470" t="s">
        <v>631</v>
      </c>
      <c r="F470" t="s">
        <v>630</v>
      </c>
      <c r="G470">
        <v>7583</v>
      </c>
      <c r="H470">
        <v>0</v>
      </c>
      <c r="I470">
        <v>187</v>
      </c>
      <c r="J470">
        <v>360</v>
      </c>
      <c r="K470">
        <v>1</v>
      </c>
      <c r="L470" t="s">
        <v>632</v>
      </c>
      <c r="M470" t="s">
        <v>633</v>
      </c>
    </row>
    <row r="471" spans="1:13" x14ac:dyDescent="0.3">
      <c r="A471" t="s">
        <v>1253</v>
      </c>
      <c r="B471" t="s">
        <v>657</v>
      </c>
      <c r="C471" t="s">
        <v>630</v>
      </c>
      <c r="D471">
        <v>0</v>
      </c>
      <c r="E471" t="s">
        <v>631</v>
      </c>
      <c r="F471" t="s">
        <v>635</v>
      </c>
      <c r="G471">
        <v>4583</v>
      </c>
      <c r="H471">
        <v>0</v>
      </c>
      <c r="I471">
        <v>133</v>
      </c>
      <c r="J471">
        <v>360</v>
      </c>
      <c r="K471">
        <v>0</v>
      </c>
      <c r="L471" t="s">
        <v>646</v>
      </c>
      <c r="M471" t="s">
        <v>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450D-EE10-497F-9DE7-927149C6639D}">
  <dimension ref="A1:M445"/>
  <sheetViews>
    <sheetView workbookViewId="0">
      <selection activeCell="L21" sqref="A1:M445"/>
    </sheetView>
  </sheetViews>
  <sheetFormatPr defaultRowHeight="14.4" x14ac:dyDescent="0.3"/>
  <sheetData>
    <row r="1" spans="1:13" x14ac:dyDescent="0.3">
      <c r="A1" t="s">
        <v>615</v>
      </c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</row>
    <row r="2" spans="1:13" x14ac:dyDescent="0.3">
      <c r="A2" t="s">
        <v>651</v>
      </c>
      <c r="B2" t="s">
        <v>629</v>
      </c>
      <c r="C2" t="s">
        <v>635</v>
      </c>
      <c r="D2">
        <v>2</v>
      </c>
      <c r="E2" t="s">
        <v>631</v>
      </c>
      <c r="F2" t="s">
        <v>630</v>
      </c>
      <c r="G2">
        <v>3073</v>
      </c>
      <c r="H2">
        <v>8106</v>
      </c>
      <c r="I2">
        <v>200</v>
      </c>
      <c r="J2">
        <v>360</v>
      </c>
      <c r="K2">
        <v>1</v>
      </c>
      <c r="L2" t="s">
        <v>632</v>
      </c>
      <c r="M2" t="s">
        <v>633</v>
      </c>
    </row>
    <row r="3" spans="1:13" x14ac:dyDescent="0.3">
      <c r="A3" t="s">
        <v>652</v>
      </c>
      <c r="B3" t="s">
        <v>629</v>
      </c>
      <c r="C3" t="s">
        <v>630</v>
      </c>
      <c r="D3">
        <v>0</v>
      </c>
      <c r="E3" t="s">
        <v>631</v>
      </c>
      <c r="F3" t="s">
        <v>630</v>
      </c>
      <c r="G3">
        <v>1853</v>
      </c>
      <c r="H3">
        <v>2840</v>
      </c>
      <c r="I3">
        <v>114</v>
      </c>
      <c r="J3">
        <v>360</v>
      </c>
      <c r="K3">
        <v>1</v>
      </c>
      <c r="L3" t="s">
        <v>636</v>
      </c>
      <c r="M3" t="s">
        <v>637</v>
      </c>
    </row>
    <row r="4" spans="1:13" x14ac:dyDescent="0.3">
      <c r="A4" t="s">
        <v>653</v>
      </c>
      <c r="B4" t="s">
        <v>629</v>
      </c>
      <c r="C4" t="s">
        <v>635</v>
      </c>
      <c r="D4">
        <v>2</v>
      </c>
      <c r="E4" t="s">
        <v>631</v>
      </c>
      <c r="F4" t="s">
        <v>630</v>
      </c>
      <c r="G4">
        <v>1299</v>
      </c>
      <c r="H4">
        <v>1086</v>
      </c>
      <c r="I4">
        <v>17</v>
      </c>
      <c r="J4">
        <v>120</v>
      </c>
      <c r="K4">
        <v>1</v>
      </c>
      <c r="L4" t="s">
        <v>632</v>
      </c>
      <c r="M4" t="s">
        <v>633</v>
      </c>
    </row>
    <row r="5" spans="1:13" x14ac:dyDescent="0.3">
      <c r="A5" t="s">
        <v>654</v>
      </c>
      <c r="B5" t="s">
        <v>629</v>
      </c>
      <c r="C5" t="s">
        <v>630</v>
      </c>
      <c r="D5">
        <v>0</v>
      </c>
      <c r="E5" t="s">
        <v>631</v>
      </c>
      <c r="F5" t="s">
        <v>630</v>
      </c>
      <c r="G5">
        <v>4950</v>
      </c>
      <c r="H5">
        <v>0</v>
      </c>
      <c r="I5">
        <v>125</v>
      </c>
      <c r="J5">
        <v>360</v>
      </c>
      <c r="K5">
        <v>1</v>
      </c>
      <c r="L5" t="s">
        <v>632</v>
      </c>
      <c r="M5" t="s">
        <v>633</v>
      </c>
    </row>
    <row r="6" spans="1:13" x14ac:dyDescent="0.3">
      <c r="A6" t="s">
        <v>656</v>
      </c>
      <c r="B6" t="s">
        <v>657</v>
      </c>
      <c r="C6" t="s">
        <v>630</v>
      </c>
      <c r="D6">
        <v>0</v>
      </c>
      <c r="E6" t="s">
        <v>631</v>
      </c>
      <c r="F6" t="s">
        <v>630</v>
      </c>
      <c r="G6">
        <v>3510</v>
      </c>
      <c r="H6">
        <v>0</v>
      </c>
      <c r="I6">
        <v>76</v>
      </c>
      <c r="J6">
        <v>360</v>
      </c>
      <c r="K6">
        <v>0</v>
      </c>
      <c r="L6" t="s">
        <v>632</v>
      </c>
      <c r="M6" t="s">
        <v>637</v>
      </c>
    </row>
    <row r="7" spans="1:13" x14ac:dyDescent="0.3">
      <c r="A7" t="s">
        <v>658</v>
      </c>
      <c r="B7" t="s">
        <v>629</v>
      </c>
      <c r="C7" t="s">
        <v>635</v>
      </c>
      <c r="D7">
        <v>0</v>
      </c>
      <c r="E7" t="s">
        <v>640</v>
      </c>
      <c r="F7" t="s">
        <v>630</v>
      </c>
      <c r="G7">
        <v>4887</v>
      </c>
      <c r="H7">
        <v>0</v>
      </c>
      <c r="I7">
        <v>133</v>
      </c>
      <c r="J7">
        <v>360</v>
      </c>
      <c r="K7">
        <v>1</v>
      </c>
      <c r="L7" t="s">
        <v>636</v>
      </c>
      <c r="M7" t="s">
        <v>637</v>
      </c>
    </row>
    <row r="8" spans="1:13" x14ac:dyDescent="0.3">
      <c r="A8" t="s">
        <v>660</v>
      </c>
      <c r="B8" t="s">
        <v>629</v>
      </c>
      <c r="C8" t="s">
        <v>635</v>
      </c>
      <c r="D8">
        <v>0</v>
      </c>
      <c r="E8" t="s">
        <v>640</v>
      </c>
      <c r="F8" t="s">
        <v>630</v>
      </c>
      <c r="G8">
        <v>7660</v>
      </c>
      <c r="H8">
        <v>0</v>
      </c>
      <c r="I8">
        <v>104</v>
      </c>
      <c r="J8">
        <v>360</v>
      </c>
      <c r="K8">
        <v>0</v>
      </c>
      <c r="L8" t="s">
        <v>632</v>
      </c>
      <c r="M8" t="s">
        <v>637</v>
      </c>
    </row>
    <row r="9" spans="1:13" x14ac:dyDescent="0.3">
      <c r="A9" t="s">
        <v>662</v>
      </c>
      <c r="B9" t="s">
        <v>629</v>
      </c>
      <c r="C9" t="s">
        <v>635</v>
      </c>
      <c r="D9">
        <v>0</v>
      </c>
      <c r="E9" t="s">
        <v>640</v>
      </c>
      <c r="F9" t="s">
        <v>630</v>
      </c>
      <c r="G9">
        <v>2600</v>
      </c>
      <c r="H9">
        <v>1911</v>
      </c>
      <c r="I9">
        <v>116</v>
      </c>
      <c r="J9">
        <v>360</v>
      </c>
      <c r="K9">
        <v>0</v>
      </c>
      <c r="L9" t="s">
        <v>646</v>
      </c>
      <c r="M9" t="s">
        <v>637</v>
      </c>
    </row>
    <row r="10" spans="1:13" x14ac:dyDescent="0.3">
      <c r="A10" t="s">
        <v>665</v>
      </c>
      <c r="B10" t="s">
        <v>629</v>
      </c>
      <c r="C10" t="s">
        <v>635</v>
      </c>
      <c r="D10">
        <v>0</v>
      </c>
      <c r="E10" t="s">
        <v>631</v>
      </c>
      <c r="F10" t="s">
        <v>635</v>
      </c>
      <c r="G10">
        <v>9560</v>
      </c>
      <c r="H10">
        <v>0</v>
      </c>
      <c r="I10">
        <v>191</v>
      </c>
      <c r="J10">
        <v>360</v>
      </c>
      <c r="K10">
        <v>1</v>
      </c>
      <c r="L10" t="s">
        <v>646</v>
      </c>
      <c r="M10" t="s">
        <v>633</v>
      </c>
    </row>
    <row r="11" spans="1:13" x14ac:dyDescent="0.3">
      <c r="A11" t="s">
        <v>666</v>
      </c>
      <c r="B11" t="s">
        <v>629</v>
      </c>
      <c r="C11" t="s">
        <v>635</v>
      </c>
      <c r="D11">
        <v>0</v>
      </c>
      <c r="E11" t="s">
        <v>631</v>
      </c>
      <c r="F11" t="s">
        <v>630</v>
      </c>
      <c r="G11">
        <v>2799</v>
      </c>
      <c r="H11">
        <v>2253</v>
      </c>
      <c r="I11">
        <v>122</v>
      </c>
      <c r="J11">
        <v>360</v>
      </c>
      <c r="K11">
        <v>1</v>
      </c>
      <c r="L11" t="s">
        <v>646</v>
      </c>
      <c r="M11" t="s">
        <v>633</v>
      </c>
    </row>
    <row r="12" spans="1:13" x14ac:dyDescent="0.3">
      <c r="A12" t="s">
        <v>667</v>
      </c>
      <c r="B12" t="s">
        <v>629</v>
      </c>
      <c r="C12" t="s">
        <v>635</v>
      </c>
      <c r="D12">
        <v>2</v>
      </c>
      <c r="E12" t="s">
        <v>640</v>
      </c>
      <c r="F12" t="s">
        <v>630</v>
      </c>
      <c r="G12">
        <v>4226</v>
      </c>
      <c r="H12">
        <v>1040</v>
      </c>
      <c r="I12">
        <v>110</v>
      </c>
      <c r="J12">
        <v>360</v>
      </c>
      <c r="K12">
        <v>1</v>
      </c>
      <c r="L12" t="s">
        <v>632</v>
      </c>
      <c r="M12" t="s">
        <v>633</v>
      </c>
    </row>
    <row r="13" spans="1:13" x14ac:dyDescent="0.3">
      <c r="A13" t="s">
        <v>668</v>
      </c>
      <c r="B13" t="s">
        <v>629</v>
      </c>
      <c r="C13" t="s">
        <v>630</v>
      </c>
      <c r="D13">
        <v>0</v>
      </c>
      <c r="E13" t="s">
        <v>640</v>
      </c>
      <c r="F13" t="s">
        <v>630</v>
      </c>
      <c r="G13">
        <v>1442</v>
      </c>
      <c r="H13">
        <v>0</v>
      </c>
      <c r="I13">
        <v>35</v>
      </c>
      <c r="J13">
        <v>360</v>
      </c>
      <c r="K13">
        <v>1</v>
      </c>
      <c r="L13" t="s">
        <v>632</v>
      </c>
      <c r="M13" t="s">
        <v>637</v>
      </c>
    </row>
    <row r="14" spans="1:13" x14ac:dyDescent="0.3">
      <c r="A14" t="s">
        <v>671</v>
      </c>
      <c r="B14" t="s">
        <v>629</v>
      </c>
      <c r="C14" t="s">
        <v>630</v>
      </c>
      <c r="D14">
        <v>0</v>
      </c>
      <c r="E14" t="s">
        <v>631</v>
      </c>
      <c r="F14" t="s">
        <v>630</v>
      </c>
      <c r="G14">
        <v>3167</v>
      </c>
      <c r="H14">
        <v>0</v>
      </c>
      <c r="I14">
        <v>74</v>
      </c>
      <c r="J14">
        <v>360</v>
      </c>
      <c r="K14">
        <v>1</v>
      </c>
      <c r="L14" t="s">
        <v>632</v>
      </c>
      <c r="M14" t="s">
        <v>637</v>
      </c>
    </row>
    <row r="15" spans="1:13" x14ac:dyDescent="0.3">
      <c r="A15" t="s">
        <v>672</v>
      </c>
      <c r="B15" t="s">
        <v>629</v>
      </c>
      <c r="C15" t="s">
        <v>630</v>
      </c>
      <c r="D15">
        <v>1</v>
      </c>
      <c r="E15" t="s">
        <v>631</v>
      </c>
      <c r="F15" t="s">
        <v>635</v>
      </c>
      <c r="G15">
        <v>4692</v>
      </c>
      <c r="H15">
        <v>0</v>
      </c>
      <c r="I15">
        <v>106</v>
      </c>
      <c r="J15">
        <v>360</v>
      </c>
      <c r="K15">
        <v>1</v>
      </c>
      <c r="L15" t="s">
        <v>636</v>
      </c>
      <c r="M15" t="s">
        <v>637</v>
      </c>
    </row>
    <row r="16" spans="1:13" x14ac:dyDescent="0.3">
      <c r="A16" t="s">
        <v>673</v>
      </c>
      <c r="B16" t="s">
        <v>629</v>
      </c>
      <c r="C16" t="s">
        <v>635</v>
      </c>
      <c r="D16">
        <v>0</v>
      </c>
      <c r="E16" t="s">
        <v>631</v>
      </c>
      <c r="F16" t="s">
        <v>630</v>
      </c>
      <c r="G16">
        <v>3500</v>
      </c>
      <c r="H16">
        <v>1667</v>
      </c>
      <c r="I16">
        <v>114</v>
      </c>
      <c r="J16">
        <v>360</v>
      </c>
      <c r="K16">
        <v>1</v>
      </c>
      <c r="L16" t="s">
        <v>646</v>
      </c>
      <c r="M16" t="s">
        <v>633</v>
      </c>
    </row>
    <row r="17" spans="1:13" x14ac:dyDescent="0.3">
      <c r="A17" t="s">
        <v>677</v>
      </c>
      <c r="B17" t="s">
        <v>657</v>
      </c>
      <c r="C17" t="s">
        <v>635</v>
      </c>
      <c r="D17">
        <v>0</v>
      </c>
      <c r="E17" t="s">
        <v>631</v>
      </c>
      <c r="F17" t="s">
        <v>630</v>
      </c>
      <c r="G17">
        <v>3667</v>
      </c>
      <c r="H17">
        <v>1459</v>
      </c>
      <c r="I17">
        <v>144</v>
      </c>
      <c r="J17">
        <v>360</v>
      </c>
      <c r="K17">
        <v>1</v>
      </c>
      <c r="L17" t="s">
        <v>646</v>
      </c>
      <c r="M17" t="s">
        <v>633</v>
      </c>
    </row>
    <row r="18" spans="1:13" x14ac:dyDescent="0.3">
      <c r="A18" t="s">
        <v>678</v>
      </c>
      <c r="B18" t="s">
        <v>629</v>
      </c>
      <c r="C18" t="s">
        <v>630</v>
      </c>
      <c r="D18">
        <v>0</v>
      </c>
      <c r="E18" t="s">
        <v>631</v>
      </c>
      <c r="F18" t="s">
        <v>630</v>
      </c>
      <c r="G18">
        <v>4166</v>
      </c>
      <c r="H18">
        <v>7210</v>
      </c>
      <c r="I18">
        <v>184</v>
      </c>
      <c r="J18">
        <v>360</v>
      </c>
      <c r="K18">
        <v>1</v>
      </c>
      <c r="L18" t="s">
        <v>632</v>
      </c>
      <c r="M18" t="s">
        <v>633</v>
      </c>
    </row>
    <row r="19" spans="1:13" x14ac:dyDescent="0.3">
      <c r="A19" t="s">
        <v>679</v>
      </c>
      <c r="B19" t="s">
        <v>629</v>
      </c>
      <c r="C19" t="s">
        <v>630</v>
      </c>
      <c r="D19">
        <v>0</v>
      </c>
      <c r="E19" t="s">
        <v>640</v>
      </c>
      <c r="F19" t="s">
        <v>630</v>
      </c>
      <c r="G19">
        <v>3748</v>
      </c>
      <c r="H19">
        <v>1668</v>
      </c>
      <c r="I19">
        <v>110</v>
      </c>
      <c r="J19">
        <v>360</v>
      </c>
      <c r="K19">
        <v>1</v>
      </c>
      <c r="L19" t="s">
        <v>646</v>
      </c>
      <c r="M19" t="s">
        <v>633</v>
      </c>
    </row>
    <row r="20" spans="1:13" x14ac:dyDescent="0.3">
      <c r="A20" t="s">
        <v>680</v>
      </c>
      <c r="B20" t="s">
        <v>629</v>
      </c>
      <c r="C20" t="s">
        <v>630</v>
      </c>
      <c r="D20">
        <v>0</v>
      </c>
      <c r="E20" t="s">
        <v>631</v>
      </c>
      <c r="F20" t="s">
        <v>630</v>
      </c>
      <c r="G20">
        <v>3600</v>
      </c>
      <c r="H20">
        <v>0</v>
      </c>
      <c r="I20">
        <v>80</v>
      </c>
      <c r="J20">
        <v>360</v>
      </c>
      <c r="K20">
        <v>1</v>
      </c>
      <c r="L20" t="s">
        <v>632</v>
      </c>
      <c r="M20" t="s">
        <v>637</v>
      </c>
    </row>
    <row r="21" spans="1:13" x14ac:dyDescent="0.3">
      <c r="A21" t="s">
        <v>681</v>
      </c>
      <c r="B21" t="s">
        <v>629</v>
      </c>
      <c r="C21" t="s">
        <v>630</v>
      </c>
      <c r="D21">
        <v>0</v>
      </c>
      <c r="E21" t="s">
        <v>631</v>
      </c>
      <c r="F21" t="s">
        <v>630</v>
      </c>
      <c r="G21">
        <v>1800</v>
      </c>
      <c r="H21">
        <v>1213</v>
      </c>
      <c r="I21">
        <v>47</v>
      </c>
      <c r="J21">
        <v>360</v>
      </c>
      <c r="K21">
        <v>1</v>
      </c>
      <c r="L21" t="s">
        <v>632</v>
      </c>
      <c r="M21" t="s">
        <v>633</v>
      </c>
    </row>
    <row r="22" spans="1:13" x14ac:dyDescent="0.3">
      <c r="A22" t="s">
        <v>683</v>
      </c>
      <c r="B22" t="s">
        <v>629</v>
      </c>
      <c r="C22" t="s">
        <v>635</v>
      </c>
      <c r="D22">
        <v>0</v>
      </c>
      <c r="E22" t="s">
        <v>631</v>
      </c>
      <c r="F22" t="s">
        <v>630</v>
      </c>
      <c r="G22">
        <v>3941</v>
      </c>
      <c r="H22">
        <v>2336</v>
      </c>
      <c r="I22">
        <v>134</v>
      </c>
      <c r="J22">
        <v>360</v>
      </c>
      <c r="K22">
        <v>1</v>
      </c>
      <c r="L22" t="s">
        <v>646</v>
      </c>
      <c r="M22" t="s">
        <v>633</v>
      </c>
    </row>
    <row r="23" spans="1:13" x14ac:dyDescent="0.3">
      <c r="A23" t="s">
        <v>686</v>
      </c>
      <c r="B23" t="s">
        <v>629</v>
      </c>
      <c r="C23" t="s">
        <v>635</v>
      </c>
      <c r="D23">
        <v>1</v>
      </c>
      <c r="E23" t="s">
        <v>631</v>
      </c>
      <c r="F23" t="s">
        <v>630</v>
      </c>
      <c r="G23">
        <v>5649</v>
      </c>
      <c r="H23">
        <v>0</v>
      </c>
      <c r="I23">
        <v>44</v>
      </c>
      <c r="J23">
        <v>360</v>
      </c>
      <c r="K23">
        <v>1</v>
      </c>
      <c r="L23" t="s">
        <v>632</v>
      </c>
      <c r="M23" t="s">
        <v>633</v>
      </c>
    </row>
    <row r="24" spans="1:13" x14ac:dyDescent="0.3">
      <c r="A24" t="s">
        <v>687</v>
      </c>
      <c r="B24" t="s">
        <v>629</v>
      </c>
      <c r="C24" t="s">
        <v>635</v>
      </c>
      <c r="D24">
        <v>0</v>
      </c>
      <c r="E24" t="s">
        <v>631</v>
      </c>
      <c r="F24" t="s">
        <v>630</v>
      </c>
      <c r="G24">
        <v>5821</v>
      </c>
      <c r="H24">
        <v>0</v>
      </c>
      <c r="I24">
        <v>144</v>
      </c>
      <c r="J24">
        <v>360</v>
      </c>
      <c r="K24">
        <v>1</v>
      </c>
      <c r="L24" t="s">
        <v>632</v>
      </c>
      <c r="M24" t="s">
        <v>633</v>
      </c>
    </row>
    <row r="25" spans="1:13" x14ac:dyDescent="0.3">
      <c r="A25" t="s">
        <v>688</v>
      </c>
      <c r="B25" t="s">
        <v>657</v>
      </c>
      <c r="C25" t="s">
        <v>635</v>
      </c>
      <c r="D25">
        <v>0</v>
      </c>
      <c r="E25" t="s">
        <v>631</v>
      </c>
      <c r="F25" t="s">
        <v>630</v>
      </c>
      <c r="G25">
        <v>2645</v>
      </c>
      <c r="H25">
        <v>3440</v>
      </c>
      <c r="I25">
        <v>120</v>
      </c>
      <c r="J25">
        <v>360</v>
      </c>
      <c r="K25">
        <v>0</v>
      </c>
      <c r="L25" t="s">
        <v>632</v>
      </c>
      <c r="M25" t="s">
        <v>637</v>
      </c>
    </row>
    <row r="26" spans="1:13" x14ac:dyDescent="0.3">
      <c r="A26" t="s">
        <v>689</v>
      </c>
      <c r="B26" t="s">
        <v>657</v>
      </c>
      <c r="C26" t="s">
        <v>630</v>
      </c>
      <c r="D26">
        <v>0</v>
      </c>
      <c r="E26" t="s">
        <v>631</v>
      </c>
      <c r="F26" t="s">
        <v>630</v>
      </c>
      <c r="G26">
        <v>4000</v>
      </c>
      <c r="H26">
        <v>2275</v>
      </c>
      <c r="I26">
        <v>144</v>
      </c>
      <c r="J26">
        <v>360</v>
      </c>
      <c r="K26">
        <v>1</v>
      </c>
      <c r="L26" t="s">
        <v>646</v>
      </c>
      <c r="M26" t="s">
        <v>633</v>
      </c>
    </row>
    <row r="27" spans="1:13" x14ac:dyDescent="0.3">
      <c r="A27" t="s">
        <v>690</v>
      </c>
      <c r="B27" t="s">
        <v>657</v>
      </c>
      <c r="C27" t="s">
        <v>635</v>
      </c>
      <c r="D27">
        <v>0</v>
      </c>
      <c r="E27" t="s">
        <v>640</v>
      </c>
      <c r="F27" t="s">
        <v>630</v>
      </c>
      <c r="G27">
        <v>1928</v>
      </c>
      <c r="H27">
        <v>1644</v>
      </c>
      <c r="I27">
        <v>100</v>
      </c>
      <c r="J27">
        <v>360</v>
      </c>
      <c r="K27">
        <v>1</v>
      </c>
      <c r="L27" t="s">
        <v>646</v>
      </c>
      <c r="M27" t="s">
        <v>633</v>
      </c>
    </row>
    <row r="28" spans="1:13" x14ac:dyDescent="0.3">
      <c r="A28" t="s">
        <v>691</v>
      </c>
      <c r="B28" t="s">
        <v>657</v>
      </c>
      <c r="C28" t="s">
        <v>630</v>
      </c>
      <c r="D28">
        <v>0</v>
      </c>
      <c r="E28" t="s">
        <v>631</v>
      </c>
      <c r="F28" t="s">
        <v>630</v>
      </c>
      <c r="G28">
        <v>3086</v>
      </c>
      <c r="H28">
        <v>0</v>
      </c>
      <c r="I28">
        <v>120</v>
      </c>
      <c r="J28">
        <v>360</v>
      </c>
      <c r="K28">
        <v>1</v>
      </c>
      <c r="L28" t="s">
        <v>646</v>
      </c>
      <c r="M28" t="s">
        <v>633</v>
      </c>
    </row>
    <row r="29" spans="1:13" x14ac:dyDescent="0.3">
      <c r="A29" t="s">
        <v>692</v>
      </c>
      <c r="B29" t="s">
        <v>657</v>
      </c>
      <c r="C29" t="s">
        <v>630</v>
      </c>
      <c r="D29">
        <v>0</v>
      </c>
      <c r="E29" t="s">
        <v>631</v>
      </c>
      <c r="F29" t="s">
        <v>630</v>
      </c>
      <c r="G29">
        <v>4230</v>
      </c>
      <c r="H29">
        <v>0</v>
      </c>
      <c r="I29">
        <v>112</v>
      </c>
      <c r="J29">
        <v>360</v>
      </c>
      <c r="K29">
        <v>1</v>
      </c>
      <c r="L29" t="s">
        <v>646</v>
      </c>
      <c r="M29" t="s">
        <v>637</v>
      </c>
    </row>
    <row r="30" spans="1:13" x14ac:dyDescent="0.3">
      <c r="A30" t="s">
        <v>693</v>
      </c>
      <c r="B30" t="s">
        <v>629</v>
      </c>
      <c r="C30" t="s">
        <v>635</v>
      </c>
      <c r="D30">
        <v>2</v>
      </c>
      <c r="E30" t="s">
        <v>631</v>
      </c>
      <c r="F30" t="s">
        <v>630</v>
      </c>
      <c r="G30">
        <v>4616</v>
      </c>
      <c r="H30">
        <v>0</v>
      </c>
      <c r="I30">
        <v>134</v>
      </c>
      <c r="J30">
        <v>360</v>
      </c>
      <c r="K30">
        <v>1</v>
      </c>
      <c r="L30" t="s">
        <v>632</v>
      </c>
      <c r="M30" t="s">
        <v>637</v>
      </c>
    </row>
    <row r="31" spans="1:13" x14ac:dyDescent="0.3">
      <c r="A31" t="s">
        <v>695</v>
      </c>
      <c r="B31" t="s">
        <v>629</v>
      </c>
      <c r="C31" t="s">
        <v>635</v>
      </c>
      <c r="D31">
        <v>2</v>
      </c>
      <c r="E31" t="s">
        <v>631</v>
      </c>
      <c r="F31" t="s">
        <v>630</v>
      </c>
      <c r="G31">
        <v>2708</v>
      </c>
      <c r="H31">
        <v>1167</v>
      </c>
      <c r="I31">
        <v>97</v>
      </c>
      <c r="J31">
        <v>360</v>
      </c>
      <c r="K31">
        <v>1</v>
      </c>
      <c r="L31" t="s">
        <v>646</v>
      </c>
      <c r="M31" t="s">
        <v>633</v>
      </c>
    </row>
    <row r="32" spans="1:13" x14ac:dyDescent="0.3">
      <c r="A32" t="s">
        <v>696</v>
      </c>
      <c r="B32" t="s">
        <v>629</v>
      </c>
      <c r="C32" t="s">
        <v>635</v>
      </c>
      <c r="D32">
        <v>0</v>
      </c>
      <c r="E32" t="s">
        <v>631</v>
      </c>
      <c r="F32" t="s">
        <v>630</v>
      </c>
      <c r="G32">
        <v>2132</v>
      </c>
      <c r="H32">
        <v>1591</v>
      </c>
      <c r="I32">
        <v>96</v>
      </c>
      <c r="J32">
        <v>360</v>
      </c>
      <c r="K32">
        <v>1</v>
      </c>
      <c r="L32" t="s">
        <v>646</v>
      </c>
      <c r="M32" t="s">
        <v>633</v>
      </c>
    </row>
    <row r="33" spans="1:13" x14ac:dyDescent="0.3">
      <c r="A33" t="s">
        <v>697</v>
      </c>
      <c r="B33" t="s">
        <v>629</v>
      </c>
      <c r="C33" t="s">
        <v>635</v>
      </c>
      <c r="D33">
        <v>0</v>
      </c>
      <c r="E33" t="s">
        <v>631</v>
      </c>
      <c r="F33" t="s">
        <v>630</v>
      </c>
      <c r="G33">
        <v>3366</v>
      </c>
      <c r="H33">
        <v>2200</v>
      </c>
      <c r="I33">
        <v>135</v>
      </c>
      <c r="J33">
        <v>360</v>
      </c>
      <c r="K33">
        <v>1</v>
      </c>
      <c r="L33" t="s">
        <v>636</v>
      </c>
      <c r="M33" t="s">
        <v>637</v>
      </c>
    </row>
    <row r="34" spans="1:13" x14ac:dyDescent="0.3">
      <c r="A34" t="s">
        <v>698</v>
      </c>
      <c r="B34" t="s">
        <v>629</v>
      </c>
      <c r="C34" t="s">
        <v>635</v>
      </c>
      <c r="D34">
        <v>1</v>
      </c>
      <c r="E34" t="s">
        <v>631</v>
      </c>
      <c r="F34" t="s">
        <v>630</v>
      </c>
      <c r="G34">
        <v>8080</v>
      </c>
      <c r="H34">
        <v>2250</v>
      </c>
      <c r="I34">
        <v>180</v>
      </c>
      <c r="J34">
        <v>360</v>
      </c>
      <c r="K34">
        <v>1</v>
      </c>
      <c r="L34" t="s">
        <v>632</v>
      </c>
      <c r="M34" t="s">
        <v>633</v>
      </c>
    </row>
    <row r="35" spans="1:13" x14ac:dyDescent="0.3">
      <c r="A35" t="s">
        <v>699</v>
      </c>
      <c r="B35" t="s">
        <v>629</v>
      </c>
      <c r="C35" t="s">
        <v>635</v>
      </c>
      <c r="D35">
        <v>2</v>
      </c>
      <c r="E35" t="s">
        <v>640</v>
      </c>
      <c r="F35" t="s">
        <v>630</v>
      </c>
      <c r="G35">
        <v>3357</v>
      </c>
      <c r="H35">
        <v>2859</v>
      </c>
      <c r="I35">
        <v>144</v>
      </c>
      <c r="J35">
        <v>360</v>
      </c>
      <c r="K35">
        <v>1</v>
      </c>
      <c r="L35" t="s">
        <v>632</v>
      </c>
      <c r="M35" t="s">
        <v>633</v>
      </c>
    </row>
    <row r="36" spans="1:13" x14ac:dyDescent="0.3">
      <c r="A36" t="s">
        <v>700</v>
      </c>
      <c r="B36" t="s">
        <v>629</v>
      </c>
      <c r="C36" t="s">
        <v>635</v>
      </c>
      <c r="D36">
        <v>0</v>
      </c>
      <c r="E36" t="s">
        <v>631</v>
      </c>
      <c r="F36" t="s">
        <v>630</v>
      </c>
      <c r="G36">
        <v>2500</v>
      </c>
      <c r="H36">
        <v>3796</v>
      </c>
      <c r="I36">
        <v>120</v>
      </c>
      <c r="J36">
        <v>360</v>
      </c>
      <c r="K36">
        <v>1</v>
      </c>
      <c r="L36" t="s">
        <v>632</v>
      </c>
      <c r="M36" t="s">
        <v>633</v>
      </c>
    </row>
    <row r="37" spans="1:13" x14ac:dyDescent="0.3">
      <c r="A37" t="s">
        <v>701</v>
      </c>
      <c r="B37" t="s">
        <v>629</v>
      </c>
      <c r="C37" t="s">
        <v>635</v>
      </c>
      <c r="D37" t="s">
        <v>645</v>
      </c>
      <c r="E37" t="s">
        <v>631</v>
      </c>
      <c r="F37" t="s">
        <v>630</v>
      </c>
      <c r="G37">
        <v>3029</v>
      </c>
      <c r="H37">
        <v>0</v>
      </c>
      <c r="I37">
        <v>99</v>
      </c>
      <c r="J37">
        <v>360</v>
      </c>
      <c r="K37">
        <v>1</v>
      </c>
      <c r="L37" t="s">
        <v>632</v>
      </c>
      <c r="M37" t="s">
        <v>633</v>
      </c>
    </row>
    <row r="38" spans="1:13" x14ac:dyDescent="0.3">
      <c r="A38" t="s">
        <v>702</v>
      </c>
      <c r="B38" t="s">
        <v>629</v>
      </c>
      <c r="C38" t="s">
        <v>635</v>
      </c>
      <c r="D38">
        <v>0</v>
      </c>
      <c r="E38" t="s">
        <v>640</v>
      </c>
      <c r="F38" t="s">
        <v>635</v>
      </c>
      <c r="G38">
        <v>2609</v>
      </c>
      <c r="H38">
        <v>3449</v>
      </c>
      <c r="I38">
        <v>165</v>
      </c>
      <c r="J38">
        <v>180</v>
      </c>
      <c r="K38">
        <v>0</v>
      </c>
      <c r="L38" t="s">
        <v>636</v>
      </c>
      <c r="M38" t="s">
        <v>637</v>
      </c>
    </row>
    <row r="39" spans="1:13" x14ac:dyDescent="0.3">
      <c r="A39" t="s">
        <v>704</v>
      </c>
      <c r="B39" t="s">
        <v>657</v>
      </c>
      <c r="C39" t="s">
        <v>630</v>
      </c>
      <c r="D39">
        <v>0</v>
      </c>
      <c r="E39" t="s">
        <v>631</v>
      </c>
      <c r="F39" t="s">
        <v>630</v>
      </c>
      <c r="G39">
        <v>4166</v>
      </c>
      <c r="H39">
        <v>0</v>
      </c>
      <c r="I39">
        <v>116</v>
      </c>
      <c r="J39">
        <v>360</v>
      </c>
      <c r="K39">
        <v>0</v>
      </c>
      <c r="L39" t="s">
        <v>646</v>
      </c>
      <c r="M39" t="s">
        <v>637</v>
      </c>
    </row>
    <row r="40" spans="1:13" x14ac:dyDescent="0.3">
      <c r="A40" t="s">
        <v>705</v>
      </c>
      <c r="B40" t="s">
        <v>629</v>
      </c>
      <c r="C40" t="s">
        <v>635</v>
      </c>
      <c r="D40">
        <v>0</v>
      </c>
      <c r="E40" t="s">
        <v>631</v>
      </c>
      <c r="F40" t="s">
        <v>630</v>
      </c>
      <c r="G40">
        <v>5726</v>
      </c>
      <c r="H40">
        <v>4595</v>
      </c>
      <c r="I40">
        <v>258</v>
      </c>
      <c r="J40">
        <v>360</v>
      </c>
      <c r="K40">
        <v>1</v>
      </c>
      <c r="L40" t="s">
        <v>646</v>
      </c>
      <c r="M40" t="s">
        <v>637</v>
      </c>
    </row>
    <row r="41" spans="1:13" x14ac:dyDescent="0.3">
      <c r="A41" t="s">
        <v>706</v>
      </c>
      <c r="B41" t="s">
        <v>629</v>
      </c>
      <c r="C41" t="s">
        <v>630</v>
      </c>
      <c r="D41">
        <v>0</v>
      </c>
      <c r="E41" t="s">
        <v>640</v>
      </c>
      <c r="F41" t="s">
        <v>630</v>
      </c>
      <c r="G41">
        <v>3200</v>
      </c>
      <c r="H41">
        <v>2254</v>
      </c>
      <c r="I41">
        <v>126</v>
      </c>
      <c r="J41">
        <v>180</v>
      </c>
      <c r="K41">
        <v>0</v>
      </c>
      <c r="L41" t="s">
        <v>632</v>
      </c>
      <c r="M41" t="s">
        <v>637</v>
      </c>
    </row>
    <row r="42" spans="1:13" x14ac:dyDescent="0.3">
      <c r="A42" t="s">
        <v>708</v>
      </c>
      <c r="B42" t="s">
        <v>629</v>
      </c>
      <c r="C42" t="s">
        <v>635</v>
      </c>
      <c r="D42" t="s">
        <v>645</v>
      </c>
      <c r="E42" t="s">
        <v>640</v>
      </c>
      <c r="F42" t="s">
        <v>635</v>
      </c>
      <c r="G42">
        <v>7100</v>
      </c>
      <c r="H42">
        <v>0</v>
      </c>
      <c r="I42">
        <v>125</v>
      </c>
      <c r="J42">
        <v>60</v>
      </c>
      <c r="K42">
        <v>1</v>
      </c>
      <c r="L42" t="s">
        <v>632</v>
      </c>
      <c r="M42" t="s">
        <v>633</v>
      </c>
    </row>
    <row r="43" spans="1:13" x14ac:dyDescent="0.3">
      <c r="A43" t="s">
        <v>709</v>
      </c>
      <c r="B43" t="s">
        <v>657</v>
      </c>
      <c r="C43" t="s">
        <v>630</v>
      </c>
      <c r="D43">
        <v>0</v>
      </c>
      <c r="E43" t="s">
        <v>631</v>
      </c>
      <c r="F43" t="s">
        <v>630</v>
      </c>
      <c r="G43">
        <v>4300</v>
      </c>
      <c r="H43">
        <v>0</v>
      </c>
      <c r="I43">
        <v>136</v>
      </c>
      <c r="J43">
        <v>360</v>
      </c>
      <c r="K43">
        <v>0</v>
      </c>
      <c r="L43" t="s">
        <v>646</v>
      </c>
      <c r="M43" t="s">
        <v>637</v>
      </c>
    </row>
    <row r="44" spans="1:13" x14ac:dyDescent="0.3">
      <c r="A44" t="s">
        <v>710</v>
      </c>
      <c r="B44" t="s">
        <v>629</v>
      </c>
      <c r="C44" t="s">
        <v>635</v>
      </c>
      <c r="D44">
        <v>0</v>
      </c>
      <c r="E44" t="s">
        <v>631</v>
      </c>
      <c r="F44" t="s">
        <v>630</v>
      </c>
      <c r="G44">
        <v>3208</v>
      </c>
      <c r="H44">
        <v>3066</v>
      </c>
      <c r="I44">
        <v>172</v>
      </c>
      <c r="J44">
        <v>360</v>
      </c>
      <c r="K44">
        <v>1</v>
      </c>
      <c r="L44" t="s">
        <v>632</v>
      </c>
      <c r="M44" t="s">
        <v>633</v>
      </c>
    </row>
    <row r="45" spans="1:13" x14ac:dyDescent="0.3">
      <c r="A45" t="s">
        <v>711</v>
      </c>
      <c r="B45" t="s">
        <v>629</v>
      </c>
      <c r="C45" t="s">
        <v>635</v>
      </c>
      <c r="D45">
        <v>2</v>
      </c>
      <c r="E45" t="s">
        <v>640</v>
      </c>
      <c r="F45" t="s">
        <v>635</v>
      </c>
      <c r="G45">
        <v>1875</v>
      </c>
      <c r="H45">
        <v>1875</v>
      </c>
      <c r="I45">
        <v>97</v>
      </c>
      <c r="J45">
        <v>360</v>
      </c>
      <c r="K45">
        <v>1</v>
      </c>
      <c r="L45" t="s">
        <v>646</v>
      </c>
      <c r="M45" t="s">
        <v>633</v>
      </c>
    </row>
    <row r="46" spans="1:13" x14ac:dyDescent="0.3">
      <c r="A46" t="s">
        <v>712</v>
      </c>
      <c r="B46" t="s">
        <v>629</v>
      </c>
      <c r="C46" t="s">
        <v>630</v>
      </c>
      <c r="D46">
        <v>0</v>
      </c>
      <c r="E46" t="s">
        <v>631</v>
      </c>
      <c r="F46" t="s">
        <v>630</v>
      </c>
      <c r="G46">
        <v>3500</v>
      </c>
      <c r="H46">
        <v>0</v>
      </c>
      <c r="I46">
        <v>81</v>
      </c>
      <c r="J46">
        <v>300</v>
      </c>
      <c r="K46">
        <v>1</v>
      </c>
      <c r="L46" t="s">
        <v>646</v>
      </c>
      <c r="M46" t="s">
        <v>633</v>
      </c>
    </row>
    <row r="47" spans="1:13" x14ac:dyDescent="0.3">
      <c r="A47" t="s">
        <v>714</v>
      </c>
      <c r="B47" t="s">
        <v>629</v>
      </c>
      <c r="C47" t="s">
        <v>635</v>
      </c>
      <c r="D47" t="s">
        <v>645</v>
      </c>
      <c r="E47" t="s">
        <v>631</v>
      </c>
      <c r="F47" t="s">
        <v>635</v>
      </c>
      <c r="G47">
        <v>5266</v>
      </c>
      <c r="H47">
        <v>1774</v>
      </c>
      <c r="I47">
        <v>187</v>
      </c>
      <c r="J47">
        <v>360</v>
      </c>
      <c r="K47">
        <v>1</v>
      </c>
      <c r="L47" t="s">
        <v>646</v>
      </c>
      <c r="M47" t="s">
        <v>633</v>
      </c>
    </row>
    <row r="48" spans="1:13" x14ac:dyDescent="0.3">
      <c r="A48" t="s">
        <v>715</v>
      </c>
      <c r="B48" t="s">
        <v>629</v>
      </c>
      <c r="C48" t="s">
        <v>630</v>
      </c>
      <c r="D48">
        <v>0</v>
      </c>
      <c r="E48" t="s">
        <v>631</v>
      </c>
      <c r="F48" t="s">
        <v>630</v>
      </c>
      <c r="G48">
        <v>3750</v>
      </c>
      <c r="H48">
        <v>0</v>
      </c>
      <c r="I48">
        <v>113</v>
      </c>
      <c r="J48">
        <v>480</v>
      </c>
      <c r="K48">
        <v>1</v>
      </c>
      <c r="L48" t="s">
        <v>632</v>
      </c>
      <c r="M48" t="s">
        <v>637</v>
      </c>
    </row>
    <row r="49" spans="1:13" x14ac:dyDescent="0.3">
      <c r="A49" t="s">
        <v>716</v>
      </c>
      <c r="B49" t="s">
        <v>629</v>
      </c>
      <c r="C49" t="s">
        <v>630</v>
      </c>
      <c r="D49">
        <v>0</v>
      </c>
      <c r="E49" t="s">
        <v>631</v>
      </c>
      <c r="F49" t="s">
        <v>630</v>
      </c>
      <c r="G49">
        <v>3750</v>
      </c>
      <c r="H49">
        <v>4750</v>
      </c>
      <c r="I49">
        <v>176</v>
      </c>
      <c r="J49">
        <v>360</v>
      </c>
      <c r="K49">
        <v>1</v>
      </c>
      <c r="L49" t="s">
        <v>632</v>
      </c>
      <c r="M49" t="s">
        <v>637</v>
      </c>
    </row>
    <row r="50" spans="1:13" x14ac:dyDescent="0.3">
      <c r="A50" t="s">
        <v>717</v>
      </c>
      <c r="B50" t="s">
        <v>629</v>
      </c>
      <c r="C50" t="s">
        <v>635</v>
      </c>
      <c r="D50">
        <v>1</v>
      </c>
      <c r="E50" t="s">
        <v>631</v>
      </c>
      <c r="F50" t="s">
        <v>635</v>
      </c>
      <c r="G50">
        <v>1000</v>
      </c>
      <c r="H50">
        <v>3022</v>
      </c>
      <c r="I50">
        <v>110</v>
      </c>
      <c r="J50">
        <v>360</v>
      </c>
      <c r="K50">
        <v>1</v>
      </c>
      <c r="L50" t="s">
        <v>632</v>
      </c>
      <c r="M50" t="s">
        <v>637</v>
      </c>
    </row>
    <row r="51" spans="1:13" x14ac:dyDescent="0.3">
      <c r="A51" t="s">
        <v>718</v>
      </c>
      <c r="B51" t="s">
        <v>629</v>
      </c>
      <c r="C51" t="s">
        <v>635</v>
      </c>
      <c r="D51" t="s">
        <v>645</v>
      </c>
      <c r="E51" t="s">
        <v>631</v>
      </c>
      <c r="F51" t="s">
        <v>630</v>
      </c>
      <c r="G51">
        <v>3167</v>
      </c>
      <c r="H51">
        <v>4000</v>
      </c>
      <c r="I51">
        <v>180</v>
      </c>
      <c r="J51">
        <v>300</v>
      </c>
      <c r="K51">
        <v>0</v>
      </c>
      <c r="L51" t="s">
        <v>646</v>
      </c>
      <c r="M51" t="s">
        <v>637</v>
      </c>
    </row>
    <row r="52" spans="1:13" x14ac:dyDescent="0.3">
      <c r="A52" t="s">
        <v>720</v>
      </c>
      <c r="B52" t="s">
        <v>657</v>
      </c>
      <c r="C52" t="s">
        <v>630</v>
      </c>
      <c r="D52">
        <v>0</v>
      </c>
      <c r="E52" t="s">
        <v>631</v>
      </c>
      <c r="F52" t="s">
        <v>630</v>
      </c>
      <c r="G52">
        <v>3846</v>
      </c>
      <c r="H52">
        <v>0</v>
      </c>
      <c r="I52">
        <v>111</v>
      </c>
      <c r="J52">
        <v>360</v>
      </c>
      <c r="K52">
        <v>1</v>
      </c>
      <c r="L52" t="s">
        <v>646</v>
      </c>
      <c r="M52" t="s">
        <v>633</v>
      </c>
    </row>
    <row r="53" spans="1:13" x14ac:dyDescent="0.3">
      <c r="A53" t="s">
        <v>722</v>
      </c>
      <c r="B53" t="s">
        <v>657</v>
      </c>
      <c r="C53" t="s">
        <v>635</v>
      </c>
      <c r="D53">
        <v>2</v>
      </c>
      <c r="E53" t="s">
        <v>631</v>
      </c>
      <c r="F53" t="s">
        <v>630</v>
      </c>
      <c r="G53">
        <v>1378</v>
      </c>
      <c r="H53">
        <v>1881</v>
      </c>
      <c r="I53">
        <v>167</v>
      </c>
      <c r="J53">
        <v>360</v>
      </c>
      <c r="K53">
        <v>1</v>
      </c>
      <c r="L53" t="s">
        <v>632</v>
      </c>
      <c r="M53" t="s">
        <v>637</v>
      </c>
    </row>
    <row r="54" spans="1:13" x14ac:dyDescent="0.3">
      <c r="A54" t="s">
        <v>724</v>
      </c>
      <c r="B54" t="s">
        <v>629</v>
      </c>
      <c r="C54" t="s">
        <v>635</v>
      </c>
      <c r="D54">
        <v>1</v>
      </c>
      <c r="E54" t="s">
        <v>631</v>
      </c>
      <c r="F54" t="s">
        <v>630</v>
      </c>
      <c r="G54">
        <v>3988</v>
      </c>
      <c r="H54">
        <v>0</v>
      </c>
      <c r="I54">
        <v>50</v>
      </c>
      <c r="J54">
        <v>240</v>
      </c>
      <c r="K54">
        <v>1</v>
      </c>
      <c r="L54" t="s">
        <v>632</v>
      </c>
      <c r="M54" t="s">
        <v>633</v>
      </c>
    </row>
    <row r="55" spans="1:13" x14ac:dyDescent="0.3">
      <c r="A55" t="s">
        <v>725</v>
      </c>
      <c r="B55" t="s">
        <v>629</v>
      </c>
      <c r="C55" t="s">
        <v>630</v>
      </c>
      <c r="D55">
        <v>0</v>
      </c>
      <c r="E55" t="s">
        <v>631</v>
      </c>
      <c r="F55" t="s">
        <v>630</v>
      </c>
      <c r="G55">
        <v>2366</v>
      </c>
      <c r="H55">
        <v>2531</v>
      </c>
      <c r="I55">
        <v>136</v>
      </c>
      <c r="J55">
        <v>360</v>
      </c>
      <c r="K55">
        <v>1</v>
      </c>
      <c r="L55" t="s">
        <v>646</v>
      </c>
      <c r="M55" t="s">
        <v>633</v>
      </c>
    </row>
    <row r="56" spans="1:13" x14ac:dyDescent="0.3">
      <c r="A56" t="s">
        <v>727</v>
      </c>
      <c r="B56" t="s">
        <v>629</v>
      </c>
      <c r="C56" t="s">
        <v>635</v>
      </c>
      <c r="D56">
        <v>0</v>
      </c>
      <c r="E56" t="s">
        <v>631</v>
      </c>
      <c r="F56" t="s">
        <v>630</v>
      </c>
      <c r="G56">
        <v>2500</v>
      </c>
      <c r="H56">
        <v>2118</v>
      </c>
      <c r="I56">
        <v>104</v>
      </c>
      <c r="J56">
        <v>360</v>
      </c>
      <c r="K56">
        <v>1</v>
      </c>
      <c r="L56" t="s">
        <v>646</v>
      </c>
      <c r="M56" t="s">
        <v>633</v>
      </c>
    </row>
    <row r="57" spans="1:13" x14ac:dyDescent="0.3">
      <c r="A57" t="s">
        <v>728</v>
      </c>
      <c r="B57" t="s">
        <v>629</v>
      </c>
      <c r="C57" t="s">
        <v>630</v>
      </c>
      <c r="D57">
        <v>0</v>
      </c>
      <c r="E57" t="s">
        <v>631</v>
      </c>
      <c r="F57" t="s">
        <v>630</v>
      </c>
      <c r="G57">
        <v>8566</v>
      </c>
      <c r="H57">
        <v>0</v>
      </c>
      <c r="I57">
        <v>210</v>
      </c>
      <c r="J57">
        <v>360</v>
      </c>
      <c r="K57">
        <v>1</v>
      </c>
      <c r="L57" t="s">
        <v>632</v>
      </c>
      <c r="M57" t="s">
        <v>633</v>
      </c>
    </row>
    <row r="58" spans="1:13" x14ac:dyDescent="0.3">
      <c r="A58" t="s">
        <v>729</v>
      </c>
      <c r="B58" t="s">
        <v>629</v>
      </c>
      <c r="C58" t="s">
        <v>635</v>
      </c>
      <c r="D58">
        <v>0</v>
      </c>
      <c r="E58" t="s">
        <v>631</v>
      </c>
      <c r="F58" t="s">
        <v>630</v>
      </c>
      <c r="G58">
        <v>5695</v>
      </c>
      <c r="H58">
        <v>4167</v>
      </c>
      <c r="I58">
        <v>175</v>
      </c>
      <c r="J58">
        <v>360</v>
      </c>
      <c r="K58">
        <v>1</v>
      </c>
      <c r="L58" t="s">
        <v>646</v>
      </c>
      <c r="M58" t="s">
        <v>633</v>
      </c>
    </row>
    <row r="59" spans="1:13" x14ac:dyDescent="0.3">
      <c r="A59" t="s">
        <v>730</v>
      </c>
      <c r="B59" t="s">
        <v>629</v>
      </c>
      <c r="C59" t="s">
        <v>635</v>
      </c>
      <c r="D59">
        <v>0</v>
      </c>
      <c r="E59" t="s">
        <v>631</v>
      </c>
      <c r="F59" t="s">
        <v>630</v>
      </c>
      <c r="G59">
        <v>2958</v>
      </c>
      <c r="H59">
        <v>2900</v>
      </c>
      <c r="I59">
        <v>131</v>
      </c>
      <c r="J59">
        <v>360</v>
      </c>
      <c r="K59">
        <v>1</v>
      </c>
      <c r="L59" t="s">
        <v>646</v>
      </c>
      <c r="M59" t="s">
        <v>633</v>
      </c>
    </row>
    <row r="60" spans="1:13" x14ac:dyDescent="0.3">
      <c r="A60" t="s">
        <v>731</v>
      </c>
      <c r="B60" t="s">
        <v>629</v>
      </c>
      <c r="C60" t="s">
        <v>635</v>
      </c>
      <c r="D60">
        <v>2</v>
      </c>
      <c r="E60" t="s">
        <v>631</v>
      </c>
      <c r="F60" t="s">
        <v>630</v>
      </c>
      <c r="G60">
        <v>6250</v>
      </c>
      <c r="H60">
        <v>5654</v>
      </c>
      <c r="I60">
        <v>188</v>
      </c>
      <c r="J60">
        <v>180</v>
      </c>
      <c r="K60">
        <v>1</v>
      </c>
      <c r="L60" t="s">
        <v>646</v>
      </c>
      <c r="M60" t="s">
        <v>633</v>
      </c>
    </row>
    <row r="61" spans="1:13" x14ac:dyDescent="0.3">
      <c r="A61" t="s">
        <v>732</v>
      </c>
      <c r="B61" t="s">
        <v>629</v>
      </c>
      <c r="C61" t="s">
        <v>635</v>
      </c>
      <c r="D61">
        <v>2</v>
      </c>
      <c r="E61" t="s">
        <v>640</v>
      </c>
      <c r="F61" t="s">
        <v>630</v>
      </c>
      <c r="G61">
        <v>3273</v>
      </c>
      <c r="H61">
        <v>1820</v>
      </c>
      <c r="I61">
        <v>81</v>
      </c>
      <c r="J61">
        <v>360</v>
      </c>
      <c r="K61">
        <v>1</v>
      </c>
      <c r="L61" t="s">
        <v>632</v>
      </c>
      <c r="M61" t="s">
        <v>633</v>
      </c>
    </row>
    <row r="62" spans="1:13" x14ac:dyDescent="0.3">
      <c r="A62" t="s">
        <v>733</v>
      </c>
      <c r="B62" t="s">
        <v>629</v>
      </c>
      <c r="C62" t="s">
        <v>630</v>
      </c>
      <c r="D62">
        <v>0</v>
      </c>
      <c r="E62" t="s">
        <v>631</v>
      </c>
      <c r="F62" t="s">
        <v>630</v>
      </c>
      <c r="G62">
        <v>4133</v>
      </c>
      <c r="H62">
        <v>0</v>
      </c>
      <c r="I62">
        <v>122</v>
      </c>
      <c r="J62">
        <v>360</v>
      </c>
      <c r="K62">
        <v>1</v>
      </c>
      <c r="L62" t="s">
        <v>646</v>
      </c>
      <c r="M62" t="s">
        <v>633</v>
      </c>
    </row>
    <row r="63" spans="1:13" x14ac:dyDescent="0.3">
      <c r="A63" t="s">
        <v>734</v>
      </c>
      <c r="B63" t="s">
        <v>629</v>
      </c>
      <c r="C63" t="s">
        <v>630</v>
      </c>
      <c r="D63">
        <v>0</v>
      </c>
      <c r="E63" t="s">
        <v>640</v>
      </c>
      <c r="F63" t="s">
        <v>630</v>
      </c>
      <c r="G63">
        <v>3620</v>
      </c>
      <c r="H63">
        <v>0</v>
      </c>
      <c r="I63">
        <v>25</v>
      </c>
      <c r="J63">
        <v>120</v>
      </c>
      <c r="K63">
        <v>1</v>
      </c>
      <c r="L63" t="s">
        <v>646</v>
      </c>
      <c r="M63" t="s">
        <v>633</v>
      </c>
    </row>
    <row r="64" spans="1:13" x14ac:dyDescent="0.3">
      <c r="A64" t="s">
        <v>736</v>
      </c>
      <c r="B64" t="s">
        <v>657</v>
      </c>
      <c r="C64" t="s">
        <v>635</v>
      </c>
      <c r="D64">
        <v>0</v>
      </c>
      <c r="E64" t="s">
        <v>631</v>
      </c>
      <c r="F64" t="s">
        <v>630</v>
      </c>
      <c r="G64">
        <v>2484</v>
      </c>
      <c r="H64">
        <v>2302</v>
      </c>
      <c r="I64">
        <v>137</v>
      </c>
      <c r="J64">
        <v>360</v>
      </c>
      <c r="K64">
        <v>1</v>
      </c>
      <c r="L64" t="s">
        <v>646</v>
      </c>
      <c r="M64" t="s">
        <v>633</v>
      </c>
    </row>
    <row r="65" spans="1:13" x14ac:dyDescent="0.3">
      <c r="A65" t="s">
        <v>737</v>
      </c>
      <c r="B65" t="s">
        <v>629</v>
      </c>
      <c r="C65" t="s">
        <v>635</v>
      </c>
      <c r="D65">
        <v>0</v>
      </c>
      <c r="E65" t="s">
        <v>631</v>
      </c>
      <c r="F65" t="s">
        <v>630</v>
      </c>
      <c r="G65">
        <v>1977</v>
      </c>
      <c r="H65">
        <v>997</v>
      </c>
      <c r="I65">
        <v>50</v>
      </c>
      <c r="J65">
        <v>360</v>
      </c>
      <c r="K65">
        <v>1</v>
      </c>
      <c r="L65" t="s">
        <v>646</v>
      </c>
      <c r="M65" t="s">
        <v>633</v>
      </c>
    </row>
    <row r="66" spans="1:13" x14ac:dyDescent="0.3">
      <c r="A66" t="s">
        <v>738</v>
      </c>
      <c r="B66" t="s">
        <v>629</v>
      </c>
      <c r="C66" t="s">
        <v>635</v>
      </c>
      <c r="D66">
        <v>0</v>
      </c>
      <c r="E66" t="s">
        <v>640</v>
      </c>
      <c r="F66" t="s">
        <v>630</v>
      </c>
      <c r="G66">
        <v>4188</v>
      </c>
      <c r="H66">
        <v>0</v>
      </c>
      <c r="I66">
        <v>115</v>
      </c>
      <c r="J66">
        <v>180</v>
      </c>
      <c r="K66">
        <v>1</v>
      </c>
      <c r="L66" t="s">
        <v>646</v>
      </c>
      <c r="M66" t="s">
        <v>633</v>
      </c>
    </row>
    <row r="67" spans="1:13" x14ac:dyDescent="0.3">
      <c r="A67" t="s">
        <v>739</v>
      </c>
      <c r="B67" t="s">
        <v>629</v>
      </c>
      <c r="C67" t="s">
        <v>635</v>
      </c>
      <c r="D67">
        <v>0</v>
      </c>
      <c r="E67" t="s">
        <v>631</v>
      </c>
      <c r="F67" t="s">
        <v>630</v>
      </c>
      <c r="G67">
        <v>1759</v>
      </c>
      <c r="H67">
        <v>3541</v>
      </c>
      <c r="I67">
        <v>131</v>
      </c>
      <c r="J67">
        <v>360</v>
      </c>
      <c r="K67">
        <v>1</v>
      </c>
      <c r="L67" t="s">
        <v>646</v>
      </c>
      <c r="M67" t="s">
        <v>633</v>
      </c>
    </row>
    <row r="68" spans="1:13" x14ac:dyDescent="0.3">
      <c r="A68" t="s">
        <v>740</v>
      </c>
      <c r="B68" t="s">
        <v>629</v>
      </c>
      <c r="C68" t="s">
        <v>635</v>
      </c>
      <c r="D68">
        <v>2</v>
      </c>
      <c r="E68" t="s">
        <v>640</v>
      </c>
      <c r="F68" t="s">
        <v>630</v>
      </c>
      <c r="G68">
        <v>4288</v>
      </c>
      <c r="H68">
        <v>3263</v>
      </c>
      <c r="I68">
        <v>133</v>
      </c>
      <c r="J68">
        <v>180</v>
      </c>
      <c r="K68">
        <v>1</v>
      </c>
      <c r="L68" t="s">
        <v>632</v>
      </c>
      <c r="M68" t="s">
        <v>633</v>
      </c>
    </row>
    <row r="69" spans="1:13" x14ac:dyDescent="0.3">
      <c r="A69" t="s">
        <v>741</v>
      </c>
      <c r="B69" t="s">
        <v>629</v>
      </c>
      <c r="C69" t="s">
        <v>630</v>
      </c>
      <c r="D69">
        <v>0</v>
      </c>
      <c r="E69" t="s">
        <v>631</v>
      </c>
      <c r="F69" t="s">
        <v>630</v>
      </c>
      <c r="G69">
        <v>4843</v>
      </c>
      <c r="H69">
        <v>3806</v>
      </c>
      <c r="I69">
        <v>151</v>
      </c>
      <c r="J69">
        <v>360</v>
      </c>
      <c r="K69">
        <v>1</v>
      </c>
      <c r="L69" t="s">
        <v>646</v>
      </c>
      <c r="M69" t="s">
        <v>633</v>
      </c>
    </row>
    <row r="70" spans="1:13" x14ac:dyDescent="0.3">
      <c r="A70" t="s">
        <v>745</v>
      </c>
      <c r="B70" t="s">
        <v>629</v>
      </c>
      <c r="C70" t="s">
        <v>635</v>
      </c>
      <c r="D70">
        <v>1</v>
      </c>
      <c r="E70" t="s">
        <v>631</v>
      </c>
      <c r="F70" t="s">
        <v>630</v>
      </c>
      <c r="G70">
        <v>3052</v>
      </c>
      <c r="H70">
        <v>1030</v>
      </c>
      <c r="I70">
        <v>100</v>
      </c>
      <c r="J70">
        <v>360</v>
      </c>
      <c r="K70">
        <v>1</v>
      </c>
      <c r="L70" t="s">
        <v>632</v>
      </c>
      <c r="M70" t="s">
        <v>633</v>
      </c>
    </row>
    <row r="71" spans="1:13" x14ac:dyDescent="0.3">
      <c r="A71" t="s">
        <v>746</v>
      </c>
      <c r="B71" t="s">
        <v>629</v>
      </c>
      <c r="C71" t="s">
        <v>635</v>
      </c>
      <c r="D71">
        <v>2</v>
      </c>
      <c r="E71" t="s">
        <v>631</v>
      </c>
      <c r="F71" t="s">
        <v>630</v>
      </c>
      <c r="G71">
        <v>11417</v>
      </c>
      <c r="H71">
        <v>1126</v>
      </c>
      <c r="I71">
        <v>225</v>
      </c>
      <c r="J71">
        <v>360</v>
      </c>
      <c r="K71">
        <v>1</v>
      </c>
      <c r="L71" t="s">
        <v>632</v>
      </c>
      <c r="M71" t="s">
        <v>633</v>
      </c>
    </row>
    <row r="72" spans="1:13" x14ac:dyDescent="0.3">
      <c r="A72" t="s">
        <v>748</v>
      </c>
      <c r="B72" t="s">
        <v>629</v>
      </c>
      <c r="C72" t="s">
        <v>635</v>
      </c>
      <c r="D72">
        <v>2</v>
      </c>
      <c r="E72" t="s">
        <v>631</v>
      </c>
      <c r="F72" t="s">
        <v>630</v>
      </c>
      <c r="G72">
        <v>3800</v>
      </c>
      <c r="H72">
        <v>3600</v>
      </c>
      <c r="I72">
        <v>216</v>
      </c>
      <c r="J72">
        <v>360</v>
      </c>
      <c r="K72">
        <v>0</v>
      </c>
      <c r="L72" t="s">
        <v>632</v>
      </c>
      <c r="M72" t="s">
        <v>637</v>
      </c>
    </row>
    <row r="73" spans="1:13" x14ac:dyDescent="0.3">
      <c r="A73" t="s">
        <v>749</v>
      </c>
      <c r="B73" t="s">
        <v>629</v>
      </c>
      <c r="C73" t="s">
        <v>635</v>
      </c>
      <c r="D73" t="s">
        <v>645</v>
      </c>
      <c r="E73" t="s">
        <v>640</v>
      </c>
      <c r="F73" t="s">
        <v>630</v>
      </c>
      <c r="G73">
        <v>2071</v>
      </c>
      <c r="H73">
        <v>754</v>
      </c>
      <c r="I73">
        <v>94</v>
      </c>
      <c r="J73">
        <v>480</v>
      </c>
      <c r="K73">
        <v>1</v>
      </c>
      <c r="L73" t="s">
        <v>646</v>
      </c>
      <c r="M73" t="s">
        <v>633</v>
      </c>
    </row>
    <row r="74" spans="1:13" x14ac:dyDescent="0.3">
      <c r="A74" t="s">
        <v>750</v>
      </c>
      <c r="B74" t="s">
        <v>629</v>
      </c>
      <c r="C74" t="s">
        <v>630</v>
      </c>
      <c r="D74">
        <v>0</v>
      </c>
      <c r="E74" t="s">
        <v>631</v>
      </c>
      <c r="F74" t="s">
        <v>630</v>
      </c>
      <c r="G74">
        <v>5316</v>
      </c>
      <c r="H74">
        <v>0</v>
      </c>
      <c r="I74">
        <v>136</v>
      </c>
      <c r="J74">
        <v>360</v>
      </c>
      <c r="K74">
        <v>1</v>
      </c>
      <c r="L74" t="s">
        <v>632</v>
      </c>
      <c r="M74" t="s">
        <v>633</v>
      </c>
    </row>
    <row r="75" spans="1:13" x14ac:dyDescent="0.3">
      <c r="A75" t="s">
        <v>755</v>
      </c>
      <c r="B75" t="s">
        <v>629</v>
      </c>
      <c r="C75" t="s">
        <v>635</v>
      </c>
      <c r="D75">
        <v>1</v>
      </c>
      <c r="E75" t="s">
        <v>631</v>
      </c>
      <c r="F75" t="s">
        <v>630</v>
      </c>
      <c r="G75">
        <v>14583</v>
      </c>
      <c r="H75">
        <v>0</v>
      </c>
      <c r="I75">
        <v>185</v>
      </c>
      <c r="J75">
        <v>180</v>
      </c>
      <c r="K75">
        <v>1</v>
      </c>
      <c r="L75" t="s">
        <v>636</v>
      </c>
      <c r="M75" t="s">
        <v>633</v>
      </c>
    </row>
    <row r="76" spans="1:13" x14ac:dyDescent="0.3">
      <c r="A76" t="s">
        <v>756</v>
      </c>
      <c r="B76" t="s">
        <v>657</v>
      </c>
      <c r="C76" t="s">
        <v>635</v>
      </c>
      <c r="D76">
        <v>0</v>
      </c>
      <c r="E76" t="s">
        <v>631</v>
      </c>
      <c r="F76" t="s">
        <v>630</v>
      </c>
      <c r="G76">
        <v>3167</v>
      </c>
      <c r="H76">
        <v>2283</v>
      </c>
      <c r="I76">
        <v>154</v>
      </c>
      <c r="J76">
        <v>360</v>
      </c>
      <c r="K76">
        <v>1</v>
      </c>
      <c r="L76" t="s">
        <v>646</v>
      </c>
      <c r="M76" t="s">
        <v>633</v>
      </c>
    </row>
    <row r="77" spans="1:13" x14ac:dyDescent="0.3">
      <c r="A77" t="s">
        <v>758</v>
      </c>
      <c r="B77" t="s">
        <v>629</v>
      </c>
      <c r="C77" t="s">
        <v>635</v>
      </c>
      <c r="D77">
        <v>0</v>
      </c>
      <c r="E77" t="s">
        <v>631</v>
      </c>
      <c r="F77" t="s">
        <v>630</v>
      </c>
      <c r="G77">
        <v>5568</v>
      </c>
      <c r="H77">
        <v>2142</v>
      </c>
      <c r="I77">
        <v>175</v>
      </c>
      <c r="J77">
        <v>360</v>
      </c>
      <c r="K77">
        <v>1</v>
      </c>
      <c r="L77" t="s">
        <v>636</v>
      </c>
      <c r="M77" t="s">
        <v>637</v>
      </c>
    </row>
    <row r="78" spans="1:13" x14ac:dyDescent="0.3">
      <c r="A78" t="s">
        <v>759</v>
      </c>
      <c r="B78" t="s">
        <v>657</v>
      </c>
      <c r="C78" t="s">
        <v>630</v>
      </c>
      <c r="D78">
        <v>0</v>
      </c>
      <c r="E78" t="s">
        <v>631</v>
      </c>
      <c r="F78" t="s">
        <v>630</v>
      </c>
      <c r="G78">
        <v>10408</v>
      </c>
      <c r="H78">
        <v>0</v>
      </c>
      <c r="I78">
        <v>259</v>
      </c>
      <c r="J78">
        <v>360</v>
      </c>
      <c r="K78">
        <v>1</v>
      </c>
      <c r="L78" t="s">
        <v>632</v>
      </c>
      <c r="M78" t="s">
        <v>633</v>
      </c>
    </row>
    <row r="79" spans="1:13" x14ac:dyDescent="0.3">
      <c r="A79" t="s">
        <v>761</v>
      </c>
      <c r="B79" t="s">
        <v>657</v>
      </c>
      <c r="C79" t="s">
        <v>630</v>
      </c>
      <c r="D79">
        <v>0</v>
      </c>
      <c r="E79" t="s">
        <v>631</v>
      </c>
      <c r="F79" t="s">
        <v>630</v>
      </c>
      <c r="G79">
        <v>4166</v>
      </c>
      <c r="H79">
        <v>0</v>
      </c>
      <c r="I79">
        <v>44</v>
      </c>
      <c r="J79">
        <v>360</v>
      </c>
      <c r="K79">
        <v>1</v>
      </c>
      <c r="L79" t="s">
        <v>646</v>
      </c>
      <c r="M79" t="s">
        <v>633</v>
      </c>
    </row>
    <row r="80" spans="1:13" x14ac:dyDescent="0.3">
      <c r="A80" t="s">
        <v>762</v>
      </c>
      <c r="B80" t="s">
        <v>657</v>
      </c>
      <c r="C80" t="s">
        <v>630</v>
      </c>
      <c r="D80">
        <v>0</v>
      </c>
      <c r="E80" t="s">
        <v>631</v>
      </c>
      <c r="F80" t="s">
        <v>630</v>
      </c>
      <c r="G80">
        <v>2137</v>
      </c>
      <c r="H80">
        <v>8980</v>
      </c>
      <c r="I80">
        <v>137</v>
      </c>
      <c r="J80">
        <v>360</v>
      </c>
      <c r="K80">
        <v>0</v>
      </c>
      <c r="L80" t="s">
        <v>646</v>
      </c>
      <c r="M80" t="s">
        <v>633</v>
      </c>
    </row>
    <row r="81" spans="1:13" x14ac:dyDescent="0.3">
      <c r="A81" t="s">
        <v>763</v>
      </c>
      <c r="B81" t="s">
        <v>629</v>
      </c>
      <c r="C81" t="s">
        <v>635</v>
      </c>
      <c r="D81">
        <v>2</v>
      </c>
      <c r="E81" t="s">
        <v>631</v>
      </c>
      <c r="F81" t="s">
        <v>630</v>
      </c>
      <c r="G81">
        <v>2957</v>
      </c>
      <c r="H81">
        <v>0</v>
      </c>
      <c r="I81">
        <v>81</v>
      </c>
      <c r="J81">
        <v>360</v>
      </c>
      <c r="K81">
        <v>1</v>
      </c>
      <c r="L81" t="s">
        <v>646</v>
      </c>
      <c r="M81" t="s">
        <v>633</v>
      </c>
    </row>
    <row r="82" spans="1:13" x14ac:dyDescent="0.3">
      <c r="A82" t="s">
        <v>764</v>
      </c>
      <c r="B82" t="s">
        <v>629</v>
      </c>
      <c r="C82" t="s">
        <v>635</v>
      </c>
      <c r="D82">
        <v>0</v>
      </c>
      <c r="E82" t="s">
        <v>640</v>
      </c>
      <c r="F82" t="s">
        <v>630</v>
      </c>
      <c r="G82">
        <v>4300</v>
      </c>
      <c r="H82">
        <v>2014</v>
      </c>
      <c r="I82">
        <v>194</v>
      </c>
      <c r="J82">
        <v>360</v>
      </c>
      <c r="K82">
        <v>1</v>
      </c>
      <c r="L82" t="s">
        <v>636</v>
      </c>
      <c r="M82" t="s">
        <v>633</v>
      </c>
    </row>
    <row r="83" spans="1:13" x14ac:dyDescent="0.3">
      <c r="A83" t="s">
        <v>768</v>
      </c>
      <c r="B83" t="s">
        <v>629</v>
      </c>
      <c r="C83" t="s">
        <v>635</v>
      </c>
      <c r="D83">
        <v>1</v>
      </c>
      <c r="E83" t="s">
        <v>631</v>
      </c>
      <c r="F83" t="s">
        <v>635</v>
      </c>
      <c r="G83">
        <v>10513</v>
      </c>
      <c r="H83">
        <v>3850</v>
      </c>
      <c r="I83">
        <v>160</v>
      </c>
      <c r="J83">
        <v>180</v>
      </c>
      <c r="K83">
        <v>0</v>
      </c>
      <c r="L83" t="s">
        <v>632</v>
      </c>
      <c r="M83" t="s">
        <v>637</v>
      </c>
    </row>
    <row r="84" spans="1:13" x14ac:dyDescent="0.3">
      <c r="A84" t="s">
        <v>771</v>
      </c>
      <c r="B84" t="s">
        <v>629</v>
      </c>
      <c r="C84" t="s">
        <v>630</v>
      </c>
      <c r="D84">
        <v>0</v>
      </c>
      <c r="E84" t="s">
        <v>631</v>
      </c>
      <c r="F84" t="s">
        <v>630</v>
      </c>
      <c r="G84">
        <v>2014</v>
      </c>
      <c r="H84">
        <v>1929</v>
      </c>
      <c r="I84">
        <v>74</v>
      </c>
      <c r="J84">
        <v>360</v>
      </c>
      <c r="K84">
        <v>1</v>
      </c>
      <c r="L84" t="s">
        <v>632</v>
      </c>
      <c r="M84" t="s">
        <v>633</v>
      </c>
    </row>
    <row r="85" spans="1:13" x14ac:dyDescent="0.3">
      <c r="A85" t="s">
        <v>772</v>
      </c>
      <c r="B85" t="s">
        <v>629</v>
      </c>
      <c r="C85" t="s">
        <v>630</v>
      </c>
      <c r="D85">
        <v>0</v>
      </c>
      <c r="E85" t="s">
        <v>631</v>
      </c>
      <c r="F85" t="s">
        <v>630</v>
      </c>
      <c r="G85">
        <v>2718</v>
      </c>
      <c r="H85">
        <v>0</v>
      </c>
      <c r="I85">
        <v>70</v>
      </c>
      <c r="J85">
        <v>360</v>
      </c>
      <c r="K85">
        <v>1</v>
      </c>
      <c r="L85" t="s">
        <v>646</v>
      </c>
      <c r="M85" t="s">
        <v>633</v>
      </c>
    </row>
    <row r="86" spans="1:13" x14ac:dyDescent="0.3">
      <c r="A86" t="s">
        <v>773</v>
      </c>
      <c r="B86" t="s">
        <v>629</v>
      </c>
      <c r="C86" t="s">
        <v>635</v>
      </c>
      <c r="D86">
        <v>0</v>
      </c>
      <c r="E86" t="s">
        <v>631</v>
      </c>
      <c r="F86" t="s">
        <v>635</v>
      </c>
      <c r="G86">
        <v>3459</v>
      </c>
      <c r="H86">
        <v>0</v>
      </c>
      <c r="I86">
        <v>25</v>
      </c>
      <c r="J86">
        <v>120</v>
      </c>
      <c r="K86">
        <v>1</v>
      </c>
      <c r="L86" t="s">
        <v>646</v>
      </c>
      <c r="M86" t="s">
        <v>633</v>
      </c>
    </row>
    <row r="87" spans="1:13" x14ac:dyDescent="0.3">
      <c r="A87" t="s">
        <v>774</v>
      </c>
      <c r="B87" t="s">
        <v>629</v>
      </c>
      <c r="C87" t="s">
        <v>630</v>
      </c>
      <c r="D87">
        <v>0</v>
      </c>
      <c r="E87" t="s">
        <v>631</v>
      </c>
      <c r="F87" t="s">
        <v>630</v>
      </c>
      <c r="G87">
        <v>4895</v>
      </c>
      <c r="H87">
        <v>0</v>
      </c>
      <c r="I87">
        <v>102</v>
      </c>
      <c r="J87">
        <v>360</v>
      </c>
      <c r="K87">
        <v>1</v>
      </c>
      <c r="L87" t="s">
        <v>646</v>
      </c>
      <c r="M87" t="s">
        <v>633</v>
      </c>
    </row>
    <row r="88" spans="1:13" x14ac:dyDescent="0.3">
      <c r="A88" t="s">
        <v>776</v>
      </c>
      <c r="B88" t="s">
        <v>657</v>
      </c>
      <c r="C88" t="s">
        <v>635</v>
      </c>
      <c r="D88">
        <v>0</v>
      </c>
      <c r="E88" t="s">
        <v>631</v>
      </c>
      <c r="F88" t="s">
        <v>630</v>
      </c>
      <c r="G88">
        <v>4583</v>
      </c>
      <c r="H88">
        <v>0</v>
      </c>
      <c r="I88">
        <v>84</v>
      </c>
      <c r="J88">
        <v>360</v>
      </c>
      <c r="K88">
        <v>1</v>
      </c>
      <c r="L88" t="s">
        <v>636</v>
      </c>
      <c r="M88" t="s">
        <v>637</v>
      </c>
    </row>
    <row r="89" spans="1:13" x14ac:dyDescent="0.3">
      <c r="A89" t="s">
        <v>777</v>
      </c>
      <c r="B89" t="s">
        <v>629</v>
      </c>
      <c r="C89" t="s">
        <v>635</v>
      </c>
      <c r="D89">
        <v>2</v>
      </c>
      <c r="E89" t="s">
        <v>631</v>
      </c>
      <c r="F89" t="s">
        <v>635</v>
      </c>
      <c r="G89">
        <v>3316</v>
      </c>
      <c r="H89">
        <v>3500</v>
      </c>
      <c r="I89">
        <v>88</v>
      </c>
      <c r="J89">
        <v>360</v>
      </c>
      <c r="K89">
        <v>1</v>
      </c>
      <c r="L89" t="s">
        <v>632</v>
      </c>
      <c r="M89" t="s">
        <v>633</v>
      </c>
    </row>
    <row r="90" spans="1:13" x14ac:dyDescent="0.3">
      <c r="A90" t="s">
        <v>778</v>
      </c>
      <c r="B90" t="s">
        <v>629</v>
      </c>
      <c r="C90" t="s">
        <v>630</v>
      </c>
      <c r="D90">
        <v>0</v>
      </c>
      <c r="E90" t="s">
        <v>631</v>
      </c>
      <c r="F90" t="s">
        <v>630</v>
      </c>
      <c r="G90">
        <v>14999</v>
      </c>
      <c r="H90">
        <v>0</v>
      </c>
      <c r="I90">
        <v>242</v>
      </c>
      <c r="J90">
        <v>360</v>
      </c>
      <c r="K90">
        <v>0</v>
      </c>
      <c r="L90" t="s">
        <v>646</v>
      </c>
      <c r="M90" t="s">
        <v>637</v>
      </c>
    </row>
    <row r="91" spans="1:13" x14ac:dyDescent="0.3">
      <c r="A91" t="s">
        <v>779</v>
      </c>
      <c r="B91" t="s">
        <v>629</v>
      </c>
      <c r="C91" t="s">
        <v>635</v>
      </c>
      <c r="D91">
        <v>2</v>
      </c>
      <c r="E91" t="s">
        <v>640</v>
      </c>
      <c r="F91" t="s">
        <v>630</v>
      </c>
      <c r="G91">
        <v>4200</v>
      </c>
      <c r="H91">
        <v>1430</v>
      </c>
      <c r="I91">
        <v>129</v>
      </c>
      <c r="J91">
        <v>360</v>
      </c>
      <c r="K91">
        <v>1</v>
      </c>
      <c r="L91" t="s">
        <v>636</v>
      </c>
      <c r="M91" t="s">
        <v>637</v>
      </c>
    </row>
    <row r="92" spans="1:13" x14ac:dyDescent="0.3">
      <c r="A92" t="s">
        <v>780</v>
      </c>
      <c r="B92" t="s">
        <v>629</v>
      </c>
      <c r="C92" t="s">
        <v>635</v>
      </c>
      <c r="D92">
        <v>2</v>
      </c>
      <c r="E92" t="s">
        <v>631</v>
      </c>
      <c r="F92" t="s">
        <v>630</v>
      </c>
      <c r="G92">
        <v>5042</v>
      </c>
      <c r="H92">
        <v>2083</v>
      </c>
      <c r="I92">
        <v>185</v>
      </c>
      <c r="J92">
        <v>360</v>
      </c>
      <c r="K92">
        <v>1</v>
      </c>
      <c r="L92" t="s">
        <v>636</v>
      </c>
      <c r="M92" t="s">
        <v>637</v>
      </c>
    </row>
    <row r="93" spans="1:13" x14ac:dyDescent="0.3">
      <c r="A93" t="s">
        <v>781</v>
      </c>
      <c r="B93" t="s">
        <v>629</v>
      </c>
      <c r="C93" t="s">
        <v>630</v>
      </c>
      <c r="D93">
        <v>0</v>
      </c>
      <c r="E93" t="s">
        <v>631</v>
      </c>
      <c r="F93" t="s">
        <v>630</v>
      </c>
      <c r="G93">
        <v>5417</v>
      </c>
      <c r="H93">
        <v>0</v>
      </c>
      <c r="I93">
        <v>168</v>
      </c>
      <c r="J93">
        <v>360</v>
      </c>
      <c r="K93">
        <v>1</v>
      </c>
      <c r="L93" t="s">
        <v>632</v>
      </c>
      <c r="M93" t="s">
        <v>633</v>
      </c>
    </row>
    <row r="94" spans="1:13" x14ac:dyDescent="0.3">
      <c r="A94" t="s">
        <v>782</v>
      </c>
      <c r="B94" t="s">
        <v>629</v>
      </c>
      <c r="C94" t="s">
        <v>630</v>
      </c>
      <c r="D94">
        <v>0</v>
      </c>
      <c r="E94" t="s">
        <v>631</v>
      </c>
      <c r="F94" t="s">
        <v>635</v>
      </c>
      <c r="G94">
        <v>6950</v>
      </c>
      <c r="H94">
        <v>0</v>
      </c>
      <c r="I94">
        <v>175</v>
      </c>
      <c r="J94">
        <v>180</v>
      </c>
      <c r="K94">
        <v>1</v>
      </c>
      <c r="L94" t="s">
        <v>646</v>
      </c>
      <c r="M94" t="s">
        <v>633</v>
      </c>
    </row>
    <row r="95" spans="1:13" x14ac:dyDescent="0.3">
      <c r="A95" t="s">
        <v>783</v>
      </c>
      <c r="B95" t="s">
        <v>629</v>
      </c>
      <c r="C95" t="s">
        <v>635</v>
      </c>
      <c r="D95">
        <v>0</v>
      </c>
      <c r="E95" t="s">
        <v>631</v>
      </c>
      <c r="F95" t="s">
        <v>630</v>
      </c>
      <c r="G95">
        <v>2698</v>
      </c>
      <c r="H95">
        <v>2034</v>
      </c>
      <c r="I95">
        <v>122</v>
      </c>
      <c r="J95">
        <v>360</v>
      </c>
      <c r="K95">
        <v>1</v>
      </c>
      <c r="L95" t="s">
        <v>646</v>
      </c>
      <c r="M95" t="s">
        <v>633</v>
      </c>
    </row>
    <row r="96" spans="1:13" x14ac:dyDescent="0.3">
      <c r="A96" t="s">
        <v>784</v>
      </c>
      <c r="B96" t="s">
        <v>629</v>
      </c>
      <c r="C96" t="s">
        <v>635</v>
      </c>
      <c r="D96">
        <v>2</v>
      </c>
      <c r="E96" t="s">
        <v>631</v>
      </c>
      <c r="F96" t="s">
        <v>630</v>
      </c>
      <c r="G96">
        <v>11757</v>
      </c>
      <c r="H96">
        <v>0</v>
      </c>
      <c r="I96">
        <v>187</v>
      </c>
      <c r="J96">
        <v>180</v>
      </c>
      <c r="K96">
        <v>1</v>
      </c>
      <c r="L96" t="s">
        <v>632</v>
      </c>
      <c r="M96" t="s">
        <v>633</v>
      </c>
    </row>
    <row r="97" spans="1:13" x14ac:dyDescent="0.3">
      <c r="A97" t="s">
        <v>785</v>
      </c>
      <c r="B97" t="s">
        <v>657</v>
      </c>
      <c r="C97" t="s">
        <v>635</v>
      </c>
      <c r="D97">
        <v>0</v>
      </c>
      <c r="E97" t="s">
        <v>631</v>
      </c>
      <c r="F97" t="s">
        <v>630</v>
      </c>
      <c r="G97">
        <v>2330</v>
      </c>
      <c r="H97">
        <v>4486</v>
      </c>
      <c r="I97">
        <v>100</v>
      </c>
      <c r="J97">
        <v>360</v>
      </c>
      <c r="K97">
        <v>1</v>
      </c>
      <c r="L97" t="s">
        <v>646</v>
      </c>
      <c r="M97" t="s">
        <v>633</v>
      </c>
    </row>
    <row r="98" spans="1:13" x14ac:dyDescent="0.3">
      <c r="A98" t="s">
        <v>786</v>
      </c>
      <c r="B98" t="s">
        <v>657</v>
      </c>
      <c r="C98" t="s">
        <v>635</v>
      </c>
      <c r="D98">
        <v>2</v>
      </c>
      <c r="E98" t="s">
        <v>631</v>
      </c>
      <c r="F98" t="s">
        <v>630</v>
      </c>
      <c r="G98">
        <v>14866</v>
      </c>
      <c r="H98">
        <v>0</v>
      </c>
      <c r="I98">
        <v>70</v>
      </c>
      <c r="J98">
        <v>360</v>
      </c>
      <c r="K98">
        <v>1</v>
      </c>
      <c r="L98" t="s">
        <v>632</v>
      </c>
      <c r="M98" t="s">
        <v>633</v>
      </c>
    </row>
    <row r="99" spans="1:13" x14ac:dyDescent="0.3">
      <c r="A99" t="s">
        <v>787</v>
      </c>
      <c r="B99" t="s">
        <v>629</v>
      </c>
      <c r="C99" t="s">
        <v>635</v>
      </c>
      <c r="D99">
        <v>1</v>
      </c>
      <c r="E99" t="s">
        <v>631</v>
      </c>
      <c r="F99" t="s">
        <v>630</v>
      </c>
      <c r="G99">
        <v>1538</v>
      </c>
      <c r="H99">
        <v>1425</v>
      </c>
      <c r="I99">
        <v>30</v>
      </c>
      <c r="J99">
        <v>360</v>
      </c>
      <c r="K99">
        <v>1</v>
      </c>
      <c r="L99" t="s">
        <v>632</v>
      </c>
      <c r="M99" t="s">
        <v>633</v>
      </c>
    </row>
    <row r="100" spans="1:13" x14ac:dyDescent="0.3">
      <c r="A100" t="s">
        <v>788</v>
      </c>
      <c r="B100" t="s">
        <v>657</v>
      </c>
      <c r="C100" t="s">
        <v>630</v>
      </c>
      <c r="D100">
        <v>0</v>
      </c>
      <c r="E100" t="s">
        <v>631</v>
      </c>
      <c r="F100" t="s">
        <v>630</v>
      </c>
      <c r="G100">
        <v>10000</v>
      </c>
      <c r="H100">
        <v>1666</v>
      </c>
      <c r="I100">
        <v>225</v>
      </c>
      <c r="J100">
        <v>360</v>
      </c>
      <c r="K100">
        <v>1</v>
      </c>
      <c r="L100" t="s">
        <v>636</v>
      </c>
      <c r="M100" t="s">
        <v>637</v>
      </c>
    </row>
    <row r="101" spans="1:13" x14ac:dyDescent="0.3">
      <c r="A101" t="s">
        <v>789</v>
      </c>
      <c r="B101" t="s">
        <v>629</v>
      </c>
      <c r="C101" t="s">
        <v>635</v>
      </c>
      <c r="D101">
        <v>0</v>
      </c>
      <c r="E101" t="s">
        <v>631</v>
      </c>
      <c r="F101" t="s">
        <v>630</v>
      </c>
      <c r="G101">
        <v>4860</v>
      </c>
      <c r="H101">
        <v>830</v>
      </c>
      <c r="I101">
        <v>125</v>
      </c>
      <c r="J101">
        <v>360</v>
      </c>
      <c r="K101">
        <v>1</v>
      </c>
      <c r="L101" t="s">
        <v>646</v>
      </c>
      <c r="M101" t="s">
        <v>633</v>
      </c>
    </row>
    <row r="102" spans="1:13" x14ac:dyDescent="0.3">
      <c r="A102" t="s">
        <v>790</v>
      </c>
      <c r="B102" t="s">
        <v>629</v>
      </c>
      <c r="C102" t="s">
        <v>630</v>
      </c>
      <c r="D102">
        <v>0</v>
      </c>
      <c r="E102" t="s">
        <v>631</v>
      </c>
      <c r="F102" t="s">
        <v>630</v>
      </c>
      <c r="G102">
        <v>6277</v>
      </c>
      <c r="H102">
        <v>0</v>
      </c>
      <c r="I102">
        <v>118</v>
      </c>
      <c r="J102">
        <v>360</v>
      </c>
      <c r="K102">
        <v>0</v>
      </c>
      <c r="L102" t="s">
        <v>636</v>
      </c>
      <c r="M102" t="s">
        <v>637</v>
      </c>
    </row>
    <row r="103" spans="1:13" x14ac:dyDescent="0.3">
      <c r="A103" t="s">
        <v>791</v>
      </c>
      <c r="B103" t="s">
        <v>629</v>
      </c>
      <c r="C103" t="s">
        <v>635</v>
      </c>
      <c r="D103">
        <v>0</v>
      </c>
      <c r="E103" t="s">
        <v>631</v>
      </c>
      <c r="F103" t="s">
        <v>635</v>
      </c>
      <c r="G103">
        <v>2577</v>
      </c>
      <c r="H103">
        <v>3750</v>
      </c>
      <c r="I103">
        <v>152</v>
      </c>
      <c r="J103">
        <v>360</v>
      </c>
      <c r="K103">
        <v>1</v>
      </c>
      <c r="L103" t="s">
        <v>636</v>
      </c>
      <c r="M103" t="s">
        <v>633</v>
      </c>
    </row>
    <row r="104" spans="1:13" x14ac:dyDescent="0.3">
      <c r="A104" t="s">
        <v>792</v>
      </c>
      <c r="B104" t="s">
        <v>629</v>
      </c>
      <c r="C104" t="s">
        <v>630</v>
      </c>
      <c r="D104">
        <v>0</v>
      </c>
      <c r="E104" t="s">
        <v>631</v>
      </c>
      <c r="F104" t="s">
        <v>630</v>
      </c>
      <c r="G104">
        <v>9166</v>
      </c>
      <c r="H104">
        <v>0</v>
      </c>
      <c r="I104">
        <v>244</v>
      </c>
      <c r="J104">
        <v>360</v>
      </c>
      <c r="K104">
        <v>1</v>
      </c>
      <c r="L104" t="s">
        <v>632</v>
      </c>
      <c r="M104" t="s">
        <v>637</v>
      </c>
    </row>
    <row r="105" spans="1:13" x14ac:dyDescent="0.3">
      <c r="A105" t="s">
        <v>793</v>
      </c>
      <c r="B105" t="s">
        <v>629</v>
      </c>
      <c r="C105" t="s">
        <v>635</v>
      </c>
      <c r="D105">
        <v>2</v>
      </c>
      <c r="E105" t="s">
        <v>640</v>
      </c>
      <c r="F105" t="s">
        <v>630</v>
      </c>
      <c r="G105">
        <v>2281</v>
      </c>
      <c r="H105">
        <v>0</v>
      </c>
      <c r="I105">
        <v>113</v>
      </c>
      <c r="J105">
        <v>360</v>
      </c>
      <c r="K105">
        <v>1</v>
      </c>
      <c r="L105" t="s">
        <v>636</v>
      </c>
      <c r="M105" t="s">
        <v>637</v>
      </c>
    </row>
    <row r="106" spans="1:13" x14ac:dyDescent="0.3">
      <c r="A106" t="s">
        <v>794</v>
      </c>
      <c r="B106" t="s">
        <v>629</v>
      </c>
      <c r="C106" t="s">
        <v>630</v>
      </c>
      <c r="D106">
        <v>0</v>
      </c>
      <c r="E106" t="s">
        <v>631</v>
      </c>
      <c r="F106" t="s">
        <v>630</v>
      </c>
      <c r="G106">
        <v>3254</v>
      </c>
      <c r="H106">
        <v>0</v>
      </c>
      <c r="I106">
        <v>50</v>
      </c>
      <c r="J106">
        <v>360</v>
      </c>
      <c r="K106">
        <v>1</v>
      </c>
      <c r="L106" t="s">
        <v>632</v>
      </c>
      <c r="M106" t="s">
        <v>633</v>
      </c>
    </row>
    <row r="107" spans="1:13" x14ac:dyDescent="0.3">
      <c r="A107" t="s">
        <v>797</v>
      </c>
      <c r="B107" t="s">
        <v>629</v>
      </c>
      <c r="C107" t="s">
        <v>635</v>
      </c>
      <c r="D107">
        <v>1</v>
      </c>
      <c r="E107" t="s">
        <v>631</v>
      </c>
      <c r="F107" t="s">
        <v>630</v>
      </c>
      <c r="G107">
        <v>9538</v>
      </c>
      <c r="H107">
        <v>0</v>
      </c>
      <c r="I107">
        <v>187</v>
      </c>
      <c r="J107">
        <v>360</v>
      </c>
      <c r="K107">
        <v>1</v>
      </c>
      <c r="L107" t="s">
        <v>632</v>
      </c>
      <c r="M107" t="s">
        <v>633</v>
      </c>
    </row>
    <row r="108" spans="1:13" x14ac:dyDescent="0.3">
      <c r="A108" t="s">
        <v>799</v>
      </c>
      <c r="B108" t="s">
        <v>629</v>
      </c>
      <c r="C108" t="s">
        <v>635</v>
      </c>
      <c r="D108">
        <v>0</v>
      </c>
      <c r="E108" t="s">
        <v>631</v>
      </c>
      <c r="F108" t="s">
        <v>630</v>
      </c>
      <c r="G108">
        <v>4583</v>
      </c>
      <c r="H108">
        <v>5625</v>
      </c>
      <c r="I108">
        <v>255</v>
      </c>
      <c r="J108">
        <v>360</v>
      </c>
      <c r="K108">
        <v>1</v>
      </c>
      <c r="L108" t="s">
        <v>646</v>
      </c>
      <c r="M108" t="s">
        <v>633</v>
      </c>
    </row>
    <row r="109" spans="1:13" x14ac:dyDescent="0.3">
      <c r="A109" t="s">
        <v>800</v>
      </c>
      <c r="B109" t="s">
        <v>629</v>
      </c>
      <c r="C109" t="s">
        <v>635</v>
      </c>
      <c r="D109">
        <v>0</v>
      </c>
      <c r="E109" t="s">
        <v>640</v>
      </c>
      <c r="F109" t="s">
        <v>630</v>
      </c>
      <c r="G109">
        <v>1863</v>
      </c>
      <c r="H109">
        <v>1041</v>
      </c>
      <c r="I109">
        <v>98</v>
      </c>
      <c r="J109">
        <v>360</v>
      </c>
      <c r="K109">
        <v>1</v>
      </c>
      <c r="L109" t="s">
        <v>646</v>
      </c>
      <c r="M109" t="s">
        <v>633</v>
      </c>
    </row>
    <row r="110" spans="1:13" x14ac:dyDescent="0.3">
      <c r="A110" t="s">
        <v>801</v>
      </c>
      <c r="B110" t="s">
        <v>629</v>
      </c>
      <c r="C110" t="s">
        <v>635</v>
      </c>
      <c r="D110">
        <v>0</v>
      </c>
      <c r="E110" t="s">
        <v>631</v>
      </c>
      <c r="F110" t="s">
        <v>630</v>
      </c>
      <c r="G110">
        <v>7933</v>
      </c>
      <c r="H110">
        <v>0</v>
      </c>
      <c r="I110">
        <v>275</v>
      </c>
      <c r="J110">
        <v>360</v>
      </c>
      <c r="K110">
        <v>1</v>
      </c>
      <c r="L110" t="s">
        <v>632</v>
      </c>
      <c r="M110" t="s">
        <v>637</v>
      </c>
    </row>
    <row r="111" spans="1:13" x14ac:dyDescent="0.3">
      <c r="A111" t="s">
        <v>802</v>
      </c>
      <c r="B111" t="s">
        <v>629</v>
      </c>
      <c r="C111" t="s">
        <v>635</v>
      </c>
      <c r="D111">
        <v>1</v>
      </c>
      <c r="E111" t="s">
        <v>631</v>
      </c>
      <c r="F111" t="s">
        <v>630</v>
      </c>
      <c r="G111">
        <v>3089</v>
      </c>
      <c r="H111">
        <v>1280</v>
      </c>
      <c r="I111">
        <v>121</v>
      </c>
      <c r="J111">
        <v>360</v>
      </c>
      <c r="K111">
        <v>0</v>
      </c>
      <c r="L111" t="s">
        <v>646</v>
      </c>
      <c r="M111" t="s">
        <v>637</v>
      </c>
    </row>
    <row r="112" spans="1:13" x14ac:dyDescent="0.3">
      <c r="A112" t="s">
        <v>803</v>
      </c>
      <c r="B112" t="s">
        <v>629</v>
      </c>
      <c r="C112" t="s">
        <v>635</v>
      </c>
      <c r="D112">
        <v>2</v>
      </c>
      <c r="E112" t="s">
        <v>631</v>
      </c>
      <c r="F112" t="s">
        <v>630</v>
      </c>
      <c r="G112">
        <v>4167</v>
      </c>
      <c r="H112">
        <v>1447</v>
      </c>
      <c r="I112">
        <v>158</v>
      </c>
      <c r="J112">
        <v>360</v>
      </c>
      <c r="K112">
        <v>1</v>
      </c>
      <c r="L112" t="s">
        <v>636</v>
      </c>
      <c r="M112" t="s">
        <v>633</v>
      </c>
    </row>
    <row r="113" spans="1:13" x14ac:dyDescent="0.3">
      <c r="A113" t="s">
        <v>804</v>
      </c>
      <c r="B113" t="s">
        <v>629</v>
      </c>
      <c r="C113" t="s">
        <v>635</v>
      </c>
      <c r="D113">
        <v>0</v>
      </c>
      <c r="E113" t="s">
        <v>631</v>
      </c>
      <c r="F113" t="s">
        <v>630</v>
      </c>
      <c r="G113">
        <v>9323</v>
      </c>
      <c r="H113">
        <v>0</v>
      </c>
      <c r="I113">
        <v>75</v>
      </c>
      <c r="J113">
        <v>180</v>
      </c>
      <c r="K113">
        <v>1</v>
      </c>
      <c r="L113" t="s">
        <v>632</v>
      </c>
      <c r="M113" t="s">
        <v>633</v>
      </c>
    </row>
    <row r="114" spans="1:13" x14ac:dyDescent="0.3">
      <c r="A114" t="s">
        <v>806</v>
      </c>
      <c r="B114" t="s">
        <v>657</v>
      </c>
      <c r="C114" t="s">
        <v>635</v>
      </c>
      <c r="D114">
        <v>0</v>
      </c>
      <c r="E114" t="s">
        <v>631</v>
      </c>
      <c r="F114" t="s">
        <v>630</v>
      </c>
      <c r="G114">
        <v>4583</v>
      </c>
      <c r="H114">
        <v>0</v>
      </c>
      <c r="I114">
        <v>112</v>
      </c>
      <c r="J114">
        <v>360</v>
      </c>
      <c r="K114">
        <v>1</v>
      </c>
      <c r="L114" t="s">
        <v>636</v>
      </c>
      <c r="M114" t="s">
        <v>637</v>
      </c>
    </row>
    <row r="115" spans="1:13" x14ac:dyDescent="0.3">
      <c r="A115" t="s">
        <v>807</v>
      </c>
      <c r="B115" t="s">
        <v>629</v>
      </c>
      <c r="C115" t="s">
        <v>635</v>
      </c>
      <c r="D115">
        <v>0</v>
      </c>
      <c r="E115" t="s">
        <v>631</v>
      </c>
      <c r="F115" t="s">
        <v>630</v>
      </c>
      <c r="G115">
        <v>2439</v>
      </c>
      <c r="H115">
        <v>3333</v>
      </c>
      <c r="I115">
        <v>129</v>
      </c>
      <c r="J115">
        <v>360</v>
      </c>
      <c r="K115">
        <v>1</v>
      </c>
      <c r="L115" t="s">
        <v>636</v>
      </c>
      <c r="M115" t="s">
        <v>633</v>
      </c>
    </row>
    <row r="116" spans="1:13" x14ac:dyDescent="0.3">
      <c r="A116" t="s">
        <v>808</v>
      </c>
      <c r="B116" t="s">
        <v>629</v>
      </c>
      <c r="C116" t="s">
        <v>630</v>
      </c>
      <c r="D116">
        <v>0</v>
      </c>
      <c r="E116" t="s">
        <v>631</v>
      </c>
      <c r="F116" t="s">
        <v>630</v>
      </c>
      <c r="G116">
        <v>2237</v>
      </c>
      <c r="H116">
        <v>0</v>
      </c>
      <c r="I116">
        <v>63</v>
      </c>
      <c r="J116">
        <v>480</v>
      </c>
      <c r="K116">
        <v>0</v>
      </c>
      <c r="L116" t="s">
        <v>646</v>
      </c>
      <c r="M116" t="s">
        <v>637</v>
      </c>
    </row>
    <row r="117" spans="1:13" x14ac:dyDescent="0.3">
      <c r="A117" t="s">
        <v>809</v>
      </c>
      <c r="B117" t="s">
        <v>629</v>
      </c>
      <c r="C117" t="s">
        <v>635</v>
      </c>
      <c r="D117">
        <v>2</v>
      </c>
      <c r="E117" t="s">
        <v>631</v>
      </c>
      <c r="F117" t="s">
        <v>630</v>
      </c>
      <c r="G117">
        <v>8000</v>
      </c>
      <c r="H117">
        <v>0</v>
      </c>
      <c r="I117">
        <v>200</v>
      </c>
      <c r="J117">
        <v>360</v>
      </c>
      <c r="K117">
        <v>1</v>
      </c>
      <c r="L117" t="s">
        <v>646</v>
      </c>
      <c r="M117" t="s">
        <v>633</v>
      </c>
    </row>
    <row r="118" spans="1:13" x14ac:dyDescent="0.3">
      <c r="A118" t="s">
        <v>812</v>
      </c>
      <c r="B118" t="s">
        <v>629</v>
      </c>
      <c r="C118" t="s">
        <v>635</v>
      </c>
      <c r="D118" t="s">
        <v>645</v>
      </c>
      <c r="E118" t="s">
        <v>640</v>
      </c>
      <c r="F118" t="s">
        <v>630</v>
      </c>
      <c r="G118">
        <v>3522</v>
      </c>
      <c r="H118">
        <v>0</v>
      </c>
      <c r="I118">
        <v>81</v>
      </c>
      <c r="J118">
        <v>180</v>
      </c>
      <c r="K118">
        <v>1</v>
      </c>
      <c r="L118" t="s">
        <v>636</v>
      </c>
      <c r="M118" t="s">
        <v>637</v>
      </c>
    </row>
    <row r="119" spans="1:13" x14ac:dyDescent="0.3">
      <c r="A119" t="s">
        <v>813</v>
      </c>
      <c r="B119" t="s">
        <v>629</v>
      </c>
      <c r="C119" t="s">
        <v>635</v>
      </c>
      <c r="D119">
        <v>0</v>
      </c>
      <c r="E119" t="s">
        <v>631</v>
      </c>
      <c r="F119" t="s">
        <v>630</v>
      </c>
      <c r="G119">
        <v>5708</v>
      </c>
      <c r="H119">
        <v>5625</v>
      </c>
      <c r="I119">
        <v>187</v>
      </c>
      <c r="J119">
        <v>360</v>
      </c>
      <c r="K119">
        <v>1</v>
      </c>
      <c r="L119" t="s">
        <v>646</v>
      </c>
      <c r="M119" t="s">
        <v>633</v>
      </c>
    </row>
    <row r="120" spans="1:13" x14ac:dyDescent="0.3">
      <c r="A120" t="s">
        <v>814</v>
      </c>
      <c r="B120" t="s">
        <v>629</v>
      </c>
      <c r="C120" t="s">
        <v>635</v>
      </c>
      <c r="D120">
        <v>0</v>
      </c>
      <c r="E120" t="s">
        <v>640</v>
      </c>
      <c r="F120" t="s">
        <v>635</v>
      </c>
      <c r="G120">
        <v>4344</v>
      </c>
      <c r="H120">
        <v>736</v>
      </c>
      <c r="I120">
        <v>87</v>
      </c>
      <c r="J120">
        <v>360</v>
      </c>
      <c r="K120">
        <v>1</v>
      </c>
      <c r="L120" t="s">
        <v>646</v>
      </c>
      <c r="M120" t="s">
        <v>637</v>
      </c>
    </row>
    <row r="121" spans="1:13" x14ac:dyDescent="0.3">
      <c r="A121" t="s">
        <v>815</v>
      </c>
      <c r="B121" t="s">
        <v>629</v>
      </c>
      <c r="C121" t="s">
        <v>635</v>
      </c>
      <c r="D121">
        <v>0</v>
      </c>
      <c r="E121" t="s">
        <v>631</v>
      </c>
      <c r="F121" t="s">
        <v>630</v>
      </c>
      <c r="G121">
        <v>3497</v>
      </c>
      <c r="H121">
        <v>1964</v>
      </c>
      <c r="I121">
        <v>116</v>
      </c>
      <c r="J121">
        <v>360</v>
      </c>
      <c r="K121">
        <v>1</v>
      </c>
      <c r="L121" t="s">
        <v>636</v>
      </c>
      <c r="M121" t="s">
        <v>633</v>
      </c>
    </row>
    <row r="122" spans="1:13" x14ac:dyDescent="0.3">
      <c r="A122" t="s">
        <v>816</v>
      </c>
      <c r="B122" t="s">
        <v>629</v>
      </c>
      <c r="C122" t="s">
        <v>635</v>
      </c>
      <c r="D122">
        <v>2</v>
      </c>
      <c r="E122" t="s">
        <v>631</v>
      </c>
      <c r="F122" t="s">
        <v>630</v>
      </c>
      <c r="G122">
        <v>2045</v>
      </c>
      <c r="H122">
        <v>1619</v>
      </c>
      <c r="I122">
        <v>101</v>
      </c>
      <c r="J122">
        <v>360</v>
      </c>
      <c r="K122">
        <v>1</v>
      </c>
      <c r="L122" t="s">
        <v>636</v>
      </c>
      <c r="M122" t="s">
        <v>633</v>
      </c>
    </row>
    <row r="123" spans="1:13" x14ac:dyDescent="0.3">
      <c r="A123" t="s">
        <v>818</v>
      </c>
      <c r="B123" t="s">
        <v>629</v>
      </c>
      <c r="C123" t="s">
        <v>635</v>
      </c>
      <c r="D123">
        <v>1</v>
      </c>
      <c r="E123" t="s">
        <v>631</v>
      </c>
      <c r="F123" t="s">
        <v>630</v>
      </c>
      <c r="G123">
        <v>3750</v>
      </c>
      <c r="H123">
        <v>0</v>
      </c>
      <c r="I123">
        <v>116</v>
      </c>
      <c r="J123">
        <v>360</v>
      </c>
      <c r="K123">
        <v>1</v>
      </c>
      <c r="L123" t="s">
        <v>646</v>
      </c>
      <c r="M123" t="s">
        <v>633</v>
      </c>
    </row>
    <row r="124" spans="1:13" x14ac:dyDescent="0.3">
      <c r="A124" t="s">
        <v>819</v>
      </c>
      <c r="B124" t="s">
        <v>629</v>
      </c>
      <c r="C124" t="s">
        <v>630</v>
      </c>
      <c r="D124">
        <v>0</v>
      </c>
      <c r="E124" t="s">
        <v>640</v>
      </c>
      <c r="F124" t="s">
        <v>630</v>
      </c>
      <c r="G124">
        <v>2333</v>
      </c>
      <c r="H124">
        <v>1451</v>
      </c>
      <c r="I124">
        <v>102</v>
      </c>
      <c r="J124">
        <v>480</v>
      </c>
      <c r="K124">
        <v>0</v>
      </c>
      <c r="L124" t="s">
        <v>632</v>
      </c>
      <c r="M124" t="s">
        <v>637</v>
      </c>
    </row>
    <row r="125" spans="1:13" x14ac:dyDescent="0.3">
      <c r="A125" t="s">
        <v>820</v>
      </c>
      <c r="B125" t="s">
        <v>629</v>
      </c>
      <c r="C125" t="s">
        <v>635</v>
      </c>
      <c r="D125">
        <v>1</v>
      </c>
      <c r="E125" t="s">
        <v>631</v>
      </c>
      <c r="F125" t="s">
        <v>630</v>
      </c>
      <c r="G125">
        <v>6400</v>
      </c>
      <c r="H125">
        <v>7250</v>
      </c>
      <c r="I125">
        <v>180</v>
      </c>
      <c r="J125">
        <v>360</v>
      </c>
      <c r="K125">
        <v>0</v>
      </c>
      <c r="L125" t="s">
        <v>632</v>
      </c>
      <c r="M125" t="s">
        <v>637</v>
      </c>
    </row>
    <row r="126" spans="1:13" x14ac:dyDescent="0.3">
      <c r="A126" t="s">
        <v>822</v>
      </c>
      <c r="B126" t="s">
        <v>629</v>
      </c>
      <c r="C126" t="s">
        <v>635</v>
      </c>
      <c r="D126">
        <v>0</v>
      </c>
      <c r="E126" t="s">
        <v>631</v>
      </c>
      <c r="F126" t="s">
        <v>630</v>
      </c>
      <c r="G126">
        <v>4600</v>
      </c>
      <c r="H126">
        <v>0</v>
      </c>
      <c r="I126">
        <v>73</v>
      </c>
      <c r="J126">
        <v>180</v>
      </c>
      <c r="K126">
        <v>1</v>
      </c>
      <c r="L126" t="s">
        <v>646</v>
      </c>
      <c r="M126" t="s">
        <v>633</v>
      </c>
    </row>
    <row r="127" spans="1:13" x14ac:dyDescent="0.3">
      <c r="A127" t="s">
        <v>823</v>
      </c>
      <c r="B127" t="s">
        <v>629</v>
      </c>
      <c r="C127" t="s">
        <v>635</v>
      </c>
      <c r="D127">
        <v>1</v>
      </c>
      <c r="E127" t="s">
        <v>631</v>
      </c>
      <c r="F127" t="s">
        <v>630</v>
      </c>
      <c r="G127">
        <v>33846</v>
      </c>
      <c r="H127">
        <v>0</v>
      </c>
      <c r="I127">
        <v>260</v>
      </c>
      <c r="J127">
        <v>360</v>
      </c>
      <c r="K127">
        <v>1</v>
      </c>
      <c r="L127" t="s">
        <v>646</v>
      </c>
      <c r="M127" t="s">
        <v>637</v>
      </c>
    </row>
    <row r="128" spans="1:13" x14ac:dyDescent="0.3">
      <c r="A128" t="s">
        <v>824</v>
      </c>
      <c r="B128" t="s">
        <v>657</v>
      </c>
      <c r="C128" t="s">
        <v>635</v>
      </c>
      <c r="D128">
        <v>0</v>
      </c>
      <c r="E128" t="s">
        <v>631</v>
      </c>
      <c r="F128" t="s">
        <v>630</v>
      </c>
      <c r="G128">
        <v>3625</v>
      </c>
      <c r="H128">
        <v>0</v>
      </c>
      <c r="I128">
        <v>108</v>
      </c>
      <c r="J128">
        <v>360</v>
      </c>
      <c r="K128">
        <v>1</v>
      </c>
      <c r="L128" t="s">
        <v>646</v>
      </c>
      <c r="M128" t="s">
        <v>633</v>
      </c>
    </row>
    <row r="129" spans="1:13" x14ac:dyDescent="0.3">
      <c r="A129" t="s">
        <v>825</v>
      </c>
      <c r="B129" t="s">
        <v>629</v>
      </c>
      <c r="C129" t="s">
        <v>635</v>
      </c>
      <c r="D129">
        <v>0</v>
      </c>
      <c r="E129" t="s">
        <v>631</v>
      </c>
      <c r="F129" t="s">
        <v>635</v>
      </c>
      <c r="G129">
        <v>39147</v>
      </c>
      <c r="H129">
        <v>4750</v>
      </c>
      <c r="I129">
        <v>120</v>
      </c>
      <c r="J129">
        <v>360</v>
      </c>
      <c r="K129">
        <v>1</v>
      </c>
      <c r="L129" t="s">
        <v>646</v>
      </c>
      <c r="M129" t="s">
        <v>633</v>
      </c>
    </row>
    <row r="130" spans="1:13" x14ac:dyDescent="0.3">
      <c r="A130" t="s">
        <v>826</v>
      </c>
      <c r="B130" t="s">
        <v>629</v>
      </c>
      <c r="C130" t="s">
        <v>635</v>
      </c>
      <c r="D130">
        <v>1</v>
      </c>
      <c r="E130" t="s">
        <v>631</v>
      </c>
      <c r="F130" t="s">
        <v>635</v>
      </c>
      <c r="G130">
        <v>2178</v>
      </c>
      <c r="H130">
        <v>0</v>
      </c>
      <c r="I130">
        <v>66</v>
      </c>
      <c r="J130">
        <v>300</v>
      </c>
      <c r="K130">
        <v>0</v>
      </c>
      <c r="L130" t="s">
        <v>636</v>
      </c>
      <c r="M130" t="s">
        <v>637</v>
      </c>
    </row>
    <row r="131" spans="1:13" x14ac:dyDescent="0.3">
      <c r="A131" t="s">
        <v>829</v>
      </c>
      <c r="B131" t="s">
        <v>629</v>
      </c>
      <c r="C131" t="s">
        <v>635</v>
      </c>
      <c r="D131">
        <v>0</v>
      </c>
      <c r="E131" t="s">
        <v>631</v>
      </c>
      <c r="F131" t="s">
        <v>630</v>
      </c>
      <c r="G131">
        <v>9328</v>
      </c>
      <c r="H131">
        <v>0</v>
      </c>
      <c r="I131">
        <v>188</v>
      </c>
      <c r="J131">
        <v>180</v>
      </c>
      <c r="K131">
        <v>1</v>
      </c>
      <c r="L131" t="s">
        <v>636</v>
      </c>
      <c r="M131" t="s">
        <v>633</v>
      </c>
    </row>
    <row r="132" spans="1:13" x14ac:dyDescent="0.3">
      <c r="A132" t="s">
        <v>830</v>
      </c>
      <c r="B132" t="s">
        <v>629</v>
      </c>
      <c r="C132" t="s">
        <v>630</v>
      </c>
      <c r="D132">
        <v>0</v>
      </c>
      <c r="E132" t="s">
        <v>640</v>
      </c>
      <c r="F132" t="s">
        <v>630</v>
      </c>
      <c r="G132">
        <v>4885</v>
      </c>
      <c r="H132">
        <v>0</v>
      </c>
      <c r="I132">
        <v>48</v>
      </c>
      <c r="J132">
        <v>360</v>
      </c>
      <c r="K132">
        <v>1</v>
      </c>
      <c r="L132" t="s">
        <v>636</v>
      </c>
      <c r="M132" t="s">
        <v>633</v>
      </c>
    </row>
    <row r="133" spans="1:13" x14ac:dyDescent="0.3">
      <c r="A133" t="s">
        <v>831</v>
      </c>
      <c r="B133" t="s">
        <v>629</v>
      </c>
      <c r="C133" t="s">
        <v>630</v>
      </c>
      <c r="D133">
        <v>0</v>
      </c>
      <c r="E133" t="s">
        <v>631</v>
      </c>
      <c r="F133" t="s">
        <v>630</v>
      </c>
      <c r="G133">
        <v>12000</v>
      </c>
      <c r="H133">
        <v>0</v>
      </c>
      <c r="I133">
        <v>164</v>
      </c>
      <c r="J133">
        <v>360</v>
      </c>
      <c r="K133">
        <v>1</v>
      </c>
      <c r="L133" t="s">
        <v>646</v>
      </c>
      <c r="M133" t="s">
        <v>637</v>
      </c>
    </row>
    <row r="134" spans="1:13" x14ac:dyDescent="0.3">
      <c r="A134" t="s">
        <v>832</v>
      </c>
      <c r="B134" t="s">
        <v>629</v>
      </c>
      <c r="C134" t="s">
        <v>635</v>
      </c>
      <c r="D134">
        <v>0</v>
      </c>
      <c r="E134" t="s">
        <v>640</v>
      </c>
      <c r="F134" t="s">
        <v>630</v>
      </c>
      <c r="G134">
        <v>6033</v>
      </c>
      <c r="H134">
        <v>0</v>
      </c>
      <c r="I134">
        <v>160</v>
      </c>
      <c r="J134">
        <v>360</v>
      </c>
      <c r="K134">
        <v>1</v>
      </c>
      <c r="L134" t="s">
        <v>632</v>
      </c>
      <c r="M134" t="s">
        <v>637</v>
      </c>
    </row>
    <row r="135" spans="1:13" x14ac:dyDescent="0.3">
      <c r="A135" t="s">
        <v>833</v>
      </c>
      <c r="B135" t="s">
        <v>629</v>
      </c>
      <c r="C135" t="s">
        <v>630</v>
      </c>
      <c r="D135">
        <v>0</v>
      </c>
      <c r="E135" t="s">
        <v>631</v>
      </c>
      <c r="F135" t="s">
        <v>630</v>
      </c>
      <c r="G135">
        <v>3858</v>
      </c>
      <c r="H135">
        <v>0</v>
      </c>
      <c r="I135">
        <v>76</v>
      </c>
      <c r="J135">
        <v>360</v>
      </c>
      <c r="K135">
        <v>1</v>
      </c>
      <c r="L135" t="s">
        <v>646</v>
      </c>
      <c r="M135" t="s">
        <v>633</v>
      </c>
    </row>
    <row r="136" spans="1:13" x14ac:dyDescent="0.3">
      <c r="A136" t="s">
        <v>834</v>
      </c>
      <c r="B136" t="s">
        <v>629</v>
      </c>
      <c r="C136" t="s">
        <v>630</v>
      </c>
      <c r="D136">
        <v>0</v>
      </c>
      <c r="E136" t="s">
        <v>631</v>
      </c>
      <c r="F136" t="s">
        <v>630</v>
      </c>
      <c r="G136">
        <v>4191</v>
      </c>
      <c r="H136">
        <v>0</v>
      </c>
      <c r="I136">
        <v>120</v>
      </c>
      <c r="J136">
        <v>360</v>
      </c>
      <c r="K136">
        <v>1</v>
      </c>
      <c r="L136" t="s">
        <v>636</v>
      </c>
      <c r="M136" t="s">
        <v>633</v>
      </c>
    </row>
    <row r="137" spans="1:13" x14ac:dyDescent="0.3">
      <c r="A137" t="s">
        <v>835</v>
      </c>
      <c r="B137" t="s">
        <v>629</v>
      </c>
      <c r="C137" t="s">
        <v>635</v>
      </c>
      <c r="D137">
        <v>1</v>
      </c>
      <c r="E137" t="s">
        <v>631</v>
      </c>
      <c r="F137" t="s">
        <v>630</v>
      </c>
      <c r="G137">
        <v>3125</v>
      </c>
      <c r="H137">
        <v>2583</v>
      </c>
      <c r="I137">
        <v>170</v>
      </c>
      <c r="J137">
        <v>360</v>
      </c>
      <c r="K137">
        <v>1</v>
      </c>
      <c r="L137" t="s">
        <v>646</v>
      </c>
      <c r="M137" t="s">
        <v>637</v>
      </c>
    </row>
    <row r="138" spans="1:13" x14ac:dyDescent="0.3">
      <c r="A138" t="s">
        <v>836</v>
      </c>
      <c r="B138" t="s">
        <v>629</v>
      </c>
      <c r="C138" t="s">
        <v>630</v>
      </c>
      <c r="D138">
        <v>0</v>
      </c>
      <c r="E138" t="s">
        <v>631</v>
      </c>
      <c r="F138" t="s">
        <v>630</v>
      </c>
      <c r="G138">
        <v>8333</v>
      </c>
      <c r="H138">
        <v>3750</v>
      </c>
      <c r="I138">
        <v>187</v>
      </c>
      <c r="J138">
        <v>360</v>
      </c>
      <c r="K138">
        <v>1</v>
      </c>
      <c r="L138" t="s">
        <v>636</v>
      </c>
      <c r="M138" t="s">
        <v>633</v>
      </c>
    </row>
    <row r="139" spans="1:13" x14ac:dyDescent="0.3">
      <c r="A139" t="s">
        <v>839</v>
      </c>
      <c r="B139" t="s">
        <v>629</v>
      </c>
      <c r="C139" t="s">
        <v>630</v>
      </c>
      <c r="D139">
        <v>0</v>
      </c>
      <c r="E139" t="s">
        <v>631</v>
      </c>
      <c r="F139" t="s">
        <v>635</v>
      </c>
      <c r="G139">
        <v>11000</v>
      </c>
      <c r="H139">
        <v>0</v>
      </c>
      <c r="I139">
        <v>83</v>
      </c>
      <c r="J139">
        <v>360</v>
      </c>
      <c r="K139">
        <v>1</v>
      </c>
      <c r="L139" t="s">
        <v>632</v>
      </c>
      <c r="M139" t="s">
        <v>637</v>
      </c>
    </row>
    <row r="140" spans="1:13" x14ac:dyDescent="0.3">
      <c r="A140" t="s">
        <v>840</v>
      </c>
      <c r="B140" t="s">
        <v>629</v>
      </c>
      <c r="C140" t="s">
        <v>635</v>
      </c>
      <c r="D140">
        <v>1</v>
      </c>
      <c r="E140" t="s">
        <v>640</v>
      </c>
      <c r="F140" t="s">
        <v>630</v>
      </c>
      <c r="G140">
        <v>2600</v>
      </c>
      <c r="H140">
        <v>2500</v>
      </c>
      <c r="I140">
        <v>90</v>
      </c>
      <c r="J140">
        <v>360</v>
      </c>
      <c r="K140">
        <v>1</v>
      </c>
      <c r="L140" t="s">
        <v>646</v>
      </c>
      <c r="M140" t="s">
        <v>633</v>
      </c>
    </row>
    <row r="141" spans="1:13" x14ac:dyDescent="0.3">
      <c r="A141" t="s">
        <v>841</v>
      </c>
      <c r="B141" t="s">
        <v>629</v>
      </c>
      <c r="C141" t="s">
        <v>630</v>
      </c>
      <c r="D141">
        <v>2</v>
      </c>
      <c r="E141" t="s">
        <v>631</v>
      </c>
      <c r="F141" t="s">
        <v>630</v>
      </c>
      <c r="G141">
        <v>4923</v>
      </c>
      <c r="H141">
        <v>0</v>
      </c>
      <c r="I141">
        <v>166</v>
      </c>
      <c r="J141">
        <v>360</v>
      </c>
      <c r="K141">
        <v>0</v>
      </c>
      <c r="L141" t="s">
        <v>646</v>
      </c>
      <c r="M141" t="s">
        <v>633</v>
      </c>
    </row>
    <row r="142" spans="1:13" x14ac:dyDescent="0.3">
      <c r="A142" t="s">
        <v>843</v>
      </c>
      <c r="B142" t="s">
        <v>629</v>
      </c>
      <c r="C142" t="s">
        <v>635</v>
      </c>
      <c r="D142">
        <v>1</v>
      </c>
      <c r="E142" t="s">
        <v>640</v>
      </c>
      <c r="F142" t="s">
        <v>630</v>
      </c>
      <c r="G142">
        <v>3500</v>
      </c>
      <c r="H142">
        <v>1083</v>
      </c>
      <c r="I142">
        <v>135</v>
      </c>
      <c r="J142">
        <v>360</v>
      </c>
      <c r="K142">
        <v>1</v>
      </c>
      <c r="L142" t="s">
        <v>632</v>
      </c>
      <c r="M142" t="s">
        <v>633</v>
      </c>
    </row>
    <row r="143" spans="1:13" x14ac:dyDescent="0.3">
      <c r="A143" t="s">
        <v>844</v>
      </c>
      <c r="B143" t="s">
        <v>629</v>
      </c>
      <c r="C143" t="s">
        <v>635</v>
      </c>
      <c r="D143">
        <v>2</v>
      </c>
      <c r="E143" t="s">
        <v>640</v>
      </c>
      <c r="F143" t="s">
        <v>630</v>
      </c>
      <c r="G143">
        <v>3917</v>
      </c>
      <c r="H143">
        <v>0</v>
      </c>
      <c r="I143">
        <v>124</v>
      </c>
      <c r="J143">
        <v>360</v>
      </c>
      <c r="K143">
        <v>1</v>
      </c>
      <c r="L143" t="s">
        <v>646</v>
      </c>
      <c r="M143" t="s">
        <v>633</v>
      </c>
    </row>
    <row r="144" spans="1:13" x14ac:dyDescent="0.3">
      <c r="A144" t="s">
        <v>845</v>
      </c>
      <c r="B144" t="s">
        <v>657</v>
      </c>
      <c r="C144" t="s">
        <v>630</v>
      </c>
      <c r="D144">
        <v>0</v>
      </c>
      <c r="E144" t="s">
        <v>640</v>
      </c>
      <c r="F144" t="s">
        <v>630</v>
      </c>
      <c r="G144">
        <v>4408</v>
      </c>
      <c r="H144">
        <v>0</v>
      </c>
      <c r="I144">
        <v>120</v>
      </c>
      <c r="J144">
        <v>360</v>
      </c>
      <c r="K144">
        <v>1</v>
      </c>
      <c r="L144" t="s">
        <v>646</v>
      </c>
      <c r="M144" t="s">
        <v>633</v>
      </c>
    </row>
    <row r="145" spans="1:13" x14ac:dyDescent="0.3">
      <c r="A145" t="s">
        <v>846</v>
      </c>
      <c r="B145" t="s">
        <v>657</v>
      </c>
      <c r="C145" t="s">
        <v>630</v>
      </c>
      <c r="D145">
        <v>0</v>
      </c>
      <c r="E145" t="s">
        <v>631</v>
      </c>
      <c r="F145" t="s">
        <v>630</v>
      </c>
      <c r="G145">
        <v>3244</v>
      </c>
      <c r="H145">
        <v>0</v>
      </c>
      <c r="I145">
        <v>80</v>
      </c>
      <c r="J145">
        <v>360</v>
      </c>
      <c r="K145">
        <v>1</v>
      </c>
      <c r="L145" t="s">
        <v>632</v>
      </c>
      <c r="M145" t="s">
        <v>633</v>
      </c>
    </row>
    <row r="146" spans="1:13" x14ac:dyDescent="0.3">
      <c r="A146" t="s">
        <v>847</v>
      </c>
      <c r="B146" t="s">
        <v>629</v>
      </c>
      <c r="C146" t="s">
        <v>630</v>
      </c>
      <c r="D146">
        <v>0</v>
      </c>
      <c r="E146" t="s">
        <v>640</v>
      </c>
      <c r="F146" t="s">
        <v>630</v>
      </c>
      <c r="G146">
        <v>3975</v>
      </c>
      <c r="H146">
        <v>2531</v>
      </c>
      <c r="I146">
        <v>55</v>
      </c>
      <c r="J146">
        <v>360</v>
      </c>
      <c r="K146">
        <v>1</v>
      </c>
      <c r="L146" t="s">
        <v>636</v>
      </c>
      <c r="M146" t="s">
        <v>633</v>
      </c>
    </row>
    <row r="147" spans="1:13" x14ac:dyDescent="0.3">
      <c r="A147" t="s">
        <v>848</v>
      </c>
      <c r="B147" t="s">
        <v>629</v>
      </c>
      <c r="C147" t="s">
        <v>630</v>
      </c>
      <c r="D147">
        <v>0</v>
      </c>
      <c r="E147" t="s">
        <v>631</v>
      </c>
      <c r="F147" t="s">
        <v>630</v>
      </c>
      <c r="G147">
        <v>2479</v>
      </c>
      <c r="H147">
        <v>0</v>
      </c>
      <c r="I147">
        <v>59</v>
      </c>
      <c r="J147">
        <v>360</v>
      </c>
      <c r="K147">
        <v>1</v>
      </c>
      <c r="L147" t="s">
        <v>632</v>
      </c>
      <c r="M147" t="s">
        <v>633</v>
      </c>
    </row>
    <row r="148" spans="1:13" x14ac:dyDescent="0.3">
      <c r="A148" t="s">
        <v>849</v>
      </c>
      <c r="B148" t="s">
        <v>629</v>
      </c>
      <c r="C148" t="s">
        <v>630</v>
      </c>
      <c r="D148">
        <v>0</v>
      </c>
      <c r="E148" t="s">
        <v>631</v>
      </c>
      <c r="F148" t="s">
        <v>630</v>
      </c>
      <c r="G148">
        <v>3418</v>
      </c>
      <c r="H148">
        <v>0</v>
      </c>
      <c r="I148">
        <v>127</v>
      </c>
      <c r="J148">
        <v>360</v>
      </c>
      <c r="K148">
        <v>1</v>
      </c>
      <c r="L148" t="s">
        <v>646</v>
      </c>
      <c r="M148" t="s">
        <v>637</v>
      </c>
    </row>
    <row r="149" spans="1:13" x14ac:dyDescent="0.3">
      <c r="A149" t="s">
        <v>850</v>
      </c>
      <c r="B149" t="s">
        <v>657</v>
      </c>
      <c r="C149" t="s">
        <v>630</v>
      </c>
      <c r="D149">
        <v>0</v>
      </c>
      <c r="E149" t="s">
        <v>631</v>
      </c>
      <c r="F149" t="s">
        <v>630</v>
      </c>
      <c r="G149">
        <v>10000</v>
      </c>
      <c r="H149">
        <v>0</v>
      </c>
      <c r="I149">
        <v>214</v>
      </c>
      <c r="J149">
        <v>360</v>
      </c>
      <c r="K149">
        <v>1</v>
      </c>
      <c r="L149" t="s">
        <v>646</v>
      </c>
      <c r="M149" t="s">
        <v>637</v>
      </c>
    </row>
    <row r="150" spans="1:13" x14ac:dyDescent="0.3">
      <c r="A150" t="s">
        <v>851</v>
      </c>
      <c r="B150" t="s">
        <v>629</v>
      </c>
      <c r="C150" t="s">
        <v>635</v>
      </c>
      <c r="D150" t="s">
        <v>645</v>
      </c>
      <c r="E150" t="s">
        <v>631</v>
      </c>
      <c r="F150" t="s">
        <v>630</v>
      </c>
      <c r="G150">
        <v>3430</v>
      </c>
      <c r="H150">
        <v>1250</v>
      </c>
      <c r="I150">
        <v>128</v>
      </c>
      <c r="J150">
        <v>360</v>
      </c>
      <c r="K150">
        <v>0</v>
      </c>
      <c r="L150" t="s">
        <v>646</v>
      </c>
      <c r="M150" t="s">
        <v>637</v>
      </c>
    </row>
    <row r="151" spans="1:13" x14ac:dyDescent="0.3">
      <c r="A151" t="s">
        <v>852</v>
      </c>
      <c r="B151" t="s">
        <v>629</v>
      </c>
      <c r="C151" t="s">
        <v>635</v>
      </c>
      <c r="D151">
        <v>1</v>
      </c>
      <c r="E151" t="s">
        <v>631</v>
      </c>
      <c r="F151" t="s">
        <v>635</v>
      </c>
      <c r="G151">
        <v>7787</v>
      </c>
      <c r="H151">
        <v>0</v>
      </c>
      <c r="I151">
        <v>240</v>
      </c>
      <c r="J151">
        <v>360</v>
      </c>
      <c r="K151">
        <v>1</v>
      </c>
      <c r="L151" t="s">
        <v>632</v>
      </c>
      <c r="M151" t="s">
        <v>633</v>
      </c>
    </row>
    <row r="152" spans="1:13" x14ac:dyDescent="0.3">
      <c r="A152" t="s">
        <v>853</v>
      </c>
      <c r="B152" t="s">
        <v>629</v>
      </c>
      <c r="C152" t="s">
        <v>635</v>
      </c>
      <c r="D152" t="s">
        <v>645</v>
      </c>
      <c r="E152" t="s">
        <v>640</v>
      </c>
      <c r="F152" t="s">
        <v>635</v>
      </c>
      <c r="G152">
        <v>5703</v>
      </c>
      <c r="H152">
        <v>0</v>
      </c>
      <c r="I152">
        <v>130</v>
      </c>
      <c r="J152">
        <v>360</v>
      </c>
      <c r="K152">
        <v>1</v>
      </c>
      <c r="L152" t="s">
        <v>636</v>
      </c>
      <c r="M152" t="s">
        <v>633</v>
      </c>
    </row>
    <row r="153" spans="1:13" x14ac:dyDescent="0.3">
      <c r="A153" t="s">
        <v>854</v>
      </c>
      <c r="B153" t="s">
        <v>629</v>
      </c>
      <c r="C153" t="s">
        <v>635</v>
      </c>
      <c r="D153">
        <v>0</v>
      </c>
      <c r="E153" t="s">
        <v>631</v>
      </c>
      <c r="F153" t="s">
        <v>630</v>
      </c>
      <c r="G153">
        <v>3173</v>
      </c>
      <c r="H153">
        <v>3021</v>
      </c>
      <c r="I153">
        <v>137</v>
      </c>
      <c r="J153">
        <v>360</v>
      </c>
      <c r="K153">
        <v>1</v>
      </c>
      <c r="L153" t="s">
        <v>632</v>
      </c>
      <c r="M153" t="s">
        <v>633</v>
      </c>
    </row>
    <row r="154" spans="1:13" x14ac:dyDescent="0.3">
      <c r="A154" t="s">
        <v>855</v>
      </c>
      <c r="B154" t="s">
        <v>629</v>
      </c>
      <c r="C154" t="s">
        <v>635</v>
      </c>
      <c r="D154" t="s">
        <v>645</v>
      </c>
      <c r="E154" t="s">
        <v>640</v>
      </c>
      <c r="F154" t="s">
        <v>630</v>
      </c>
      <c r="G154">
        <v>3850</v>
      </c>
      <c r="H154">
        <v>983</v>
      </c>
      <c r="I154">
        <v>100</v>
      </c>
      <c r="J154">
        <v>360</v>
      </c>
      <c r="K154">
        <v>1</v>
      </c>
      <c r="L154" t="s">
        <v>646</v>
      </c>
      <c r="M154" t="s">
        <v>633</v>
      </c>
    </row>
    <row r="155" spans="1:13" x14ac:dyDescent="0.3">
      <c r="A155" t="s">
        <v>856</v>
      </c>
      <c r="B155" t="s">
        <v>629</v>
      </c>
      <c r="C155" t="s">
        <v>635</v>
      </c>
      <c r="D155">
        <v>0</v>
      </c>
      <c r="E155" t="s">
        <v>631</v>
      </c>
      <c r="F155" t="s">
        <v>630</v>
      </c>
      <c r="G155">
        <v>150</v>
      </c>
      <c r="H155">
        <v>1800</v>
      </c>
      <c r="I155">
        <v>135</v>
      </c>
      <c r="J155">
        <v>360</v>
      </c>
      <c r="K155">
        <v>1</v>
      </c>
      <c r="L155" t="s">
        <v>636</v>
      </c>
      <c r="M155" t="s">
        <v>637</v>
      </c>
    </row>
    <row r="156" spans="1:13" x14ac:dyDescent="0.3">
      <c r="A156" t="s">
        <v>857</v>
      </c>
      <c r="B156" t="s">
        <v>629</v>
      </c>
      <c r="C156" t="s">
        <v>635</v>
      </c>
      <c r="D156">
        <v>0</v>
      </c>
      <c r="E156" t="s">
        <v>631</v>
      </c>
      <c r="F156" t="s">
        <v>630</v>
      </c>
      <c r="G156">
        <v>3727</v>
      </c>
      <c r="H156">
        <v>1775</v>
      </c>
      <c r="I156">
        <v>131</v>
      </c>
      <c r="J156">
        <v>360</v>
      </c>
      <c r="K156">
        <v>1</v>
      </c>
      <c r="L156" t="s">
        <v>646</v>
      </c>
      <c r="M156" t="s">
        <v>633</v>
      </c>
    </row>
    <row r="157" spans="1:13" x14ac:dyDescent="0.3">
      <c r="A157" t="s">
        <v>860</v>
      </c>
      <c r="B157" t="s">
        <v>629</v>
      </c>
      <c r="C157" t="s">
        <v>635</v>
      </c>
      <c r="D157">
        <v>0</v>
      </c>
      <c r="E157" t="s">
        <v>631</v>
      </c>
      <c r="F157" t="s">
        <v>630</v>
      </c>
      <c r="G157">
        <v>2221</v>
      </c>
      <c r="H157">
        <v>0</v>
      </c>
      <c r="I157">
        <v>60</v>
      </c>
      <c r="J157">
        <v>360</v>
      </c>
      <c r="K157">
        <v>0</v>
      </c>
      <c r="L157" t="s">
        <v>632</v>
      </c>
      <c r="M157" t="s">
        <v>637</v>
      </c>
    </row>
    <row r="158" spans="1:13" x14ac:dyDescent="0.3">
      <c r="A158" t="s">
        <v>861</v>
      </c>
      <c r="B158" t="s">
        <v>629</v>
      </c>
      <c r="C158" t="s">
        <v>635</v>
      </c>
      <c r="D158">
        <v>2</v>
      </c>
      <c r="E158" t="s">
        <v>631</v>
      </c>
      <c r="F158" t="s">
        <v>630</v>
      </c>
      <c r="G158">
        <v>4009</v>
      </c>
      <c r="H158">
        <v>1717</v>
      </c>
      <c r="I158">
        <v>116</v>
      </c>
      <c r="J158">
        <v>360</v>
      </c>
      <c r="K158">
        <v>1</v>
      </c>
      <c r="L158" t="s">
        <v>646</v>
      </c>
      <c r="M158" t="s">
        <v>633</v>
      </c>
    </row>
    <row r="159" spans="1:13" x14ac:dyDescent="0.3">
      <c r="A159" t="s">
        <v>862</v>
      </c>
      <c r="B159" t="s">
        <v>629</v>
      </c>
      <c r="C159" t="s">
        <v>630</v>
      </c>
      <c r="D159">
        <v>0</v>
      </c>
      <c r="E159" t="s">
        <v>631</v>
      </c>
      <c r="F159" t="s">
        <v>630</v>
      </c>
      <c r="G159">
        <v>2971</v>
      </c>
      <c r="H159">
        <v>2791</v>
      </c>
      <c r="I159">
        <v>144</v>
      </c>
      <c r="J159">
        <v>360</v>
      </c>
      <c r="K159">
        <v>1</v>
      </c>
      <c r="L159" t="s">
        <v>646</v>
      </c>
      <c r="M159" t="s">
        <v>633</v>
      </c>
    </row>
    <row r="160" spans="1:13" x14ac:dyDescent="0.3">
      <c r="A160" t="s">
        <v>864</v>
      </c>
      <c r="B160" t="s">
        <v>629</v>
      </c>
      <c r="C160" t="s">
        <v>635</v>
      </c>
      <c r="D160">
        <v>0</v>
      </c>
      <c r="E160" t="s">
        <v>631</v>
      </c>
      <c r="F160" t="s">
        <v>630</v>
      </c>
      <c r="G160">
        <v>6250</v>
      </c>
      <c r="H160">
        <v>0</v>
      </c>
      <c r="I160">
        <v>128</v>
      </c>
      <c r="J160">
        <v>360</v>
      </c>
      <c r="K160">
        <v>1</v>
      </c>
      <c r="L160" t="s">
        <v>646</v>
      </c>
      <c r="M160" t="s">
        <v>633</v>
      </c>
    </row>
    <row r="161" spans="1:13" x14ac:dyDescent="0.3">
      <c r="A161" t="s">
        <v>865</v>
      </c>
      <c r="B161" t="s">
        <v>629</v>
      </c>
      <c r="C161" t="s">
        <v>635</v>
      </c>
      <c r="D161">
        <v>0</v>
      </c>
      <c r="E161" t="s">
        <v>631</v>
      </c>
      <c r="F161" t="s">
        <v>630</v>
      </c>
      <c r="G161">
        <v>3250</v>
      </c>
      <c r="H161">
        <v>0</v>
      </c>
      <c r="I161">
        <v>170</v>
      </c>
      <c r="J161">
        <v>360</v>
      </c>
      <c r="K161">
        <v>1</v>
      </c>
      <c r="L161" t="s">
        <v>636</v>
      </c>
      <c r="M161" t="s">
        <v>637</v>
      </c>
    </row>
    <row r="162" spans="1:13" x14ac:dyDescent="0.3">
      <c r="A162" t="s">
        <v>867</v>
      </c>
      <c r="B162" t="s">
        <v>629</v>
      </c>
      <c r="C162" t="s">
        <v>635</v>
      </c>
      <c r="D162">
        <v>2</v>
      </c>
      <c r="E162" t="s">
        <v>631</v>
      </c>
      <c r="F162" t="s">
        <v>630</v>
      </c>
      <c r="G162">
        <v>6250</v>
      </c>
      <c r="H162">
        <v>1695</v>
      </c>
      <c r="I162">
        <v>210</v>
      </c>
      <c r="J162">
        <v>360</v>
      </c>
      <c r="K162">
        <v>1</v>
      </c>
      <c r="L162" t="s">
        <v>646</v>
      </c>
      <c r="M162" t="s">
        <v>633</v>
      </c>
    </row>
    <row r="163" spans="1:13" x14ac:dyDescent="0.3">
      <c r="A163" t="s">
        <v>869</v>
      </c>
      <c r="B163" t="s">
        <v>629</v>
      </c>
      <c r="C163" t="s">
        <v>630</v>
      </c>
      <c r="D163">
        <v>0</v>
      </c>
      <c r="E163" t="s">
        <v>631</v>
      </c>
      <c r="F163" t="s">
        <v>635</v>
      </c>
      <c r="G163">
        <v>6400</v>
      </c>
      <c r="H163">
        <v>0</v>
      </c>
      <c r="I163">
        <v>200</v>
      </c>
      <c r="J163">
        <v>360</v>
      </c>
      <c r="K163">
        <v>1</v>
      </c>
      <c r="L163" t="s">
        <v>636</v>
      </c>
      <c r="M163" t="s">
        <v>633</v>
      </c>
    </row>
    <row r="164" spans="1:13" x14ac:dyDescent="0.3">
      <c r="A164" t="s">
        <v>870</v>
      </c>
      <c r="B164" t="s">
        <v>629</v>
      </c>
      <c r="C164" t="s">
        <v>635</v>
      </c>
      <c r="D164">
        <v>1</v>
      </c>
      <c r="E164" t="s">
        <v>631</v>
      </c>
      <c r="F164" t="s">
        <v>630</v>
      </c>
      <c r="G164">
        <v>2491</v>
      </c>
      <c r="H164">
        <v>2054</v>
      </c>
      <c r="I164">
        <v>104</v>
      </c>
      <c r="J164">
        <v>360</v>
      </c>
      <c r="K164">
        <v>1</v>
      </c>
      <c r="L164" t="s">
        <v>646</v>
      </c>
      <c r="M164" t="s">
        <v>633</v>
      </c>
    </row>
    <row r="165" spans="1:13" x14ac:dyDescent="0.3">
      <c r="A165" t="s">
        <v>874</v>
      </c>
      <c r="B165" t="s">
        <v>629</v>
      </c>
      <c r="C165" t="s">
        <v>635</v>
      </c>
      <c r="D165">
        <v>1</v>
      </c>
      <c r="E165" t="s">
        <v>631</v>
      </c>
      <c r="F165" t="s">
        <v>630</v>
      </c>
      <c r="G165">
        <v>3155</v>
      </c>
      <c r="H165">
        <v>1779</v>
      </c>
      <c r="I165">
        <v>140</v>
      </c>
      <c r="J165">
        <v>360</v>
      </c>
      <c r="K165">
        <v>1</v>
      </c>
      <c r="L165" t="s">
        <v>646</v>
      </c>
      <c r="M165" t="s">
        <v>633</v>
      </c>
    </row>
    <row r="166" spans="1:13" x14ac:dyDescent="0.3">
      <c r="A166" t="s">
        <v>875</v>
      </c>
      <c r="B166" t="s">
        <v>629</v>
      </c>
      <c r="C166" t="s">
        <v>635</v>
      </c>
      <c r="D166">
        <v>1</v>
      </c>
      <c r="E166" t="s">
        <v>631</v>
      </c>
      <c r="F166" t="s">
        <v>630</v>
      </c>
      <c r="G166">
        <v>5500</v>
      </c>
      <c r="H166">
        <v>1260</v>
      </c>
      <c r="I166">
        <v>170</v>
      </c>
      <c r="J166">
        <v>360</v>
      </c>
      <c r="K166">
        <v>1</v>
      </c>
      <c r="L166" t="s">
        <v>636</v>
      </c>
      <c r="M166" t="s">
        <v>633</v>
      </c>
    </row>
    <row r="167" spans="1:13" x14ac:dyDescent="0.3">
      <c r="A167" t="s">
        <v>878</v>
      </c>
      <c r="B167" t="s">
        <v>657</v>
      </c>
      <c r="C167" t="s">
        <v>630</v>
      </c>
      <c r="D167">
        <v>1</v>
      </c>
      <c r="E167" t="s">
        <v>631</v>
      </c>
      <c r="F167" t="s">
        <v>630</v>
      </c>
      <c r="G167">
        <v>3812</v>
      </c>
      <c r="H167">
        <v>0</v>
      </c>
      <c r="I167">
        <v>112</v>
      </c>
      <c r="J167">
        <v>360</v>
      </c>
      <c r="K167">
        <v>1</v>
      </c>
      <c r="L167" t="s">
        <v>636</v>
      </c>
      <c r="M167" t="s">
        <v>633</v>
      </c>
    </row>
    <row r="168" spans="1:13" x14ac:dyDescent="0.3">
      <c r="A168" t="s">
        <v>879</v>
      </c>
      <c r="B168" t="s">
        <v>629</v>
      </c>
      <c r="C168" t="s">
        <v>635</v>
      </c>
      <c r="D168">
        <v>1</v>
      </c>
      <c r="E168" t="s">
        <v>631</v>
      </c>
      <c r="F168" t="s">
        <v>630</v>
      </c>
      <c r="G168">
        <v>3315</v>
      </c>
      <c r="H168">
        <v>0</v>
      </c>
      <c r="I168">
        <v>96</v>
      </c>
      <c r="J168">
        <v>360</v>
      </c>
      <c r="K168">
        <v>1</v>
      </c>
      <c r="L168" t="s">
        <v>646</v>
      </c>
      <c r="M168" t="s">
        <v>633</v>
      </c>
    </row>
    <row r="169" spans="1:13" x14ac:dyDescent="0.3">
      <c r="A169" t="s">
        <v>880</v>
      </c>
      <c r="B169" t="s">
        <v>629</v>
      </c>
      <c r="C169" t="s">
        <v>635</v>
      </c>
      <c r="D169">
        <v>2</v>
      </c>
      <c r="E169" t="s">
        <v>631</v>
      </c>
      <c r="F169" t="s">
        <v>630</v>
      </c>
      <c r="G169">
        <v>5819</v>
      </c>
      <c r="H169">
        <v>5000</v>
      </c>
      <c r="I169">
        <v>120</v>
      </c>
      <c r="J169">
        <v>360</v>
      </c>
      <c r="K169">
        <v>1</v>
      </c>
      <c r="L169" t="s">
        <v>636</v>
      </c>
      <c r="M169" t="s">
        <v>633</v>
      </c>
    </row>
    <row r="170" spans="1:13" x14ac:dyDescent="0.3">
      <c r="A170" t="s">
        <v>881</v>
      </c>
      <c r="B170" t="s">
        <v>629</v>
      </c>
      <c r="C170" t="s">
        <v>635</v>
      </c>
      <c r="D170">
        <v>1</v>
      </c>
      <c r="E170" t="s">
        <v>640</v>
      </c>
      <c r="F170" t="s">
        <v>630</v>
      </c>
      <c r="G170">
        <v>2510</v>
      </c>
      <c r="H170">
        <v>1983</v>
      </c>
      <c r="I170">
        <v>140</v>
      </c>
      <c r="J170">
        <v>180</v>
      </c>
      <c r="K170">
        <v>1</v>
      </c>
      <c r="L170" t="s">
        <v>632</v>
      </c>
      <c r="M170" t="s">
        <v>637</v>
      </c>
    </row>
    <row r="171" spans="1:13" x14ac:dyDescent="0.3">
      <c r="A171" t="s">
        <v>882</v>
      </c>
      <c r="B171" t="s">
        <v>629</v>
      </c>
      <c r="C171" t="s">
        <v>630</v>
      </c>
      <c r="D171">
        <v>0</v>
      </c>
      <c r="E171" t="s">
        <v>631</v>
      </c>
      <c r="F171" t="s">
        <v>630</v>
      </c>
      <c r="G171">
        <v>2965</v>
      </c>
      <c r="H171">
        <v>5701</v>
      </c>
      <c r="I171">
        <v>155</v>
      </c>
      <c r="J171">
        <v>60</v>
      </c>
      <c r="K171">
        <v>1</v>
      </c>
      <c r="L171" t="s">
        <v>632</v>
      </c>
      <c r="M171" t="s">
        <v>633</v>
      </c>
    </row>
    <row r="172" spans="1:13" x14ac:dyDescent="0.3">
      <c r="A172" t="s">
        <v>883</v>
      </c>
      <c r="B172" t="s">
        <v>629</v>
      </c>
      <c r="C172" t="s">
        <v>635</v>
      </c>
      <c r="D172">
        <v>2</v>
      </c>
      <c r="E172" t="s">
        <v>631</v>
      </c>
      <c r="F172" t="s">
        <v>635</v>
      </c>
      <c r="G172">
        <v>6250</v>
      </c>
      <c r="H172">
        <v>1300</v>
      </c>
      <c r="I172">
        <v>108</v>
      </c>
      <c r="J172">
        <v>360</v>
      </c>
      <c r="K172">
        <v>1</v>
      </c>
      <c r="L172" t="s">
        <v>636</v>
      </c>
      <c r="M172" t="s">
        <v>633</v>
      </c>
    </row>
    <row r="173" spans="1:13" x14ac:dyDescent="0.3">
      <c r="A173" t="s">
        <v>884</v>
      </c>
      <c r="B173" t="s">
        <v>629</v>
      </c>
      <c r="C173" t="s">
        <v>635</v>
      </c>
      <c r="D173">
        <v>0</v>
      </c>
      <c r="E173" t="s">
        <v>640</v>
      </c>
      <c r="F173" t="s">
        <v>630</v>
      </c>
      <c r="G173">
        <v>3406</v>
      </c>
      <c r="H173">
        <v>4417</v>
      </c>
      <c r="I173">
        <v>123</v>
      </c>
      <c r="J173">
        <v>360</v>
      </c>
      <c r="K173">
        <v>1</v>
      </c>
      <c r="L173" t="s">
        <v>646</v>
      </c>
      <c r="M173" t="s">
        <v>633</v>
      </c>
    </row>
    <row r="174" spans="1:13" x14ac:dyDescent="0.3">
      <c r="A174" t="s">
        <v>885</v>
      </c>
      <c r="B174" t="s">
        <v>629</v>
      </c>
      <c r="C174" t="s">
        <v>630</v>
      </c>
      <c r="D174">
        <v>0</v>
      </c>
      <c r="E174" t="s">
        <v>631</v>
      </c>
      <c r="F174" t="s">
        <v>635</v>
      </c>
      <c r="G174">
        <v>6050</v>
      </c>
      <c r="H174">
        <v>4333</v>
      </c>
      <c r="I174">
        <v>120</v>
      </c>
      <c r="J174">
        <v>180</v>
      </c>
      <c r="K174">
        <v>1</v>
      </c>
      <c r="L174" t="s">
        <v>632</v>
      </c>
      <c r="M174" t="s">
        <v>637</v>
      </c>
    </row>
    <row r="175" spans="1:13" x14ac:dyDescent="0.3">
      <c r="A175" t="s">
        <v>886</v>
      </c>
      <c r="B175" t="s">
        <v>629</v>
      </c>
      <c r="C175" t="s">
        <v>635</v>
      </c>
      <c r="D175">
        <v>2</v>
      </c>
      <c r="E175" t="s">
        <v>631</v>
      </c>
      <c r="F175" t="s">
        <v>630</v>
      </c>
      <c r="G175">
        <v>9703</v>
      </c>
      <c r="H175">
        <v>0</v>
      </c>
      <c r="I175">
        <v>112</v>
      </c>
      <c r="J175">
        <v>360</v>
      </c>
      <c r="K175">
        <v>1</v>
      </c>
      <c r="L175" t="s">
        <v>632</v>
      </c>
      <c r="M175" t="s">
        <v>633</v>
      </c>
    </row>
    <row r="176" spans="1:13" x14ac:dyDescent="0.3">
      <c r="A176" t="s">
        <v>887</v>
      </c>
      <c r="B176" t="s">
        <v>629</v>
      </c>
      <c r="C176" t="s">
        <v>635</v>
      </c>
      <c r="D176">
        <v>1</v>
      </c>
      <c r="E176" t="s">
        <v>640</v>
      </c>
      <c r="F176" t="s">
        <v>630</v>
      </c>
      <c r="G176">
        <v>6608</v>
      </c>
      <c r="H176">
        <v>0</v>
      </c>
      <c r="I176">
        <v>137</v>
      </c>
      <c r="J176">
        <v>180</v>
      </c>
      <c r="K176">
        <v>1</v>
      </c>
      <c r="L176" t="s">
        <v>632</v>
      </c>
      <c r="M176" t="s">
        <v>633</v>
      </c>
    </row>
    <row r="177" spans="1:13" x14ac:dyDescent="0.3">
      <c r="A177" t="s">
        <v>888</v>
      </c>
      <c r="B177" t="s">
        <v>629</v>
      </c>
      <c r="C177" t="s">
        <v>635</v>
      </c>
      <c r="D177">
        <v>1</v>
      </c>
      <c r="E177" t="s">
        <v>631</v>
      </c>
      <c r="F177" t="s">
        <v>630</v>
      </c>
      <c r="G177">
        <v>2882</v>
      </c>
      <c r="H177">
        <v>1843</v>
      </c>
      <c r="I177">
        <v>123</v>
      </c>
      <c r="J177">
        <v>480</v>
      </c>
      <c r="K177">
        <v>1</v>
      </c>
      <c r="L177" t="s">
        <v>646</v>
      </c>
      <c r="M177" t="s">
        <v>633</v>
      </c>
    </row>
    <row r="178" spans="1:13" x14ac:dyDescent="0.3">
      <c r="A178" t="s">
        <v>889</v>
      </c>
      <c r="B178" t="s">
        <v>629</v>
      </c>
      <c r="C178" t="s">
        <v>635</v>
      </c>
      <c r="D178">
        <v>0</v>
      </c>
      <c r="E178" t="s">
        <v>631</v>
      </c>
      <c r="F178" t="s">
        <v>630</v>
      </c>
      <c r="G178">
        <v>1809</v>
      </c>
      <c r="H178">
        <v>1868</v>
      </c>
      <c r="I178">
        <v>90</v>
      </c>
      <c r="J178">
        <v>360</v>
      </c>
      <c r="K178">
        <v>1</v>
      </c>
      <c r="L178" t="s">
        <v>632</v>
      </c>
      <c r="M178" t="s">
        <v>633</v>
      </c>
    </row>
    <row r="179" spans="1:13" x14ac:dyDescent="0.3">
      <c r="A179" t="s">
        <v>890</v>
      </c>
      <c r="B179" t="s">
        <v>629</v>
      </c>
      <c r="C179" t="s">
        <v>635</v>
      </c>
      <c r="D179">
        <v>0</v>
      </c>
      <c r="E179" t="s">
        <v>640</v>
      </c>
      <c r="F179" t="s">
        <v>630</v>
      </c>
      <c r="G179">
        <v>1668</v>
      </c>
      <c r="H179">
        <v>3890</v>
      </c>
      <c r="I179">
        <v>201</v>
      </c>
      <c r="J179">
        <v>360</v>
      </c>
      <c r="K179">
        <v>0</v>
      </c>
      <c r="L179" t="s">
        <v>646</v>
      </c>
      <c r="M179" t="s">
        <v>637</v>
      </c>
    </row>
    <row r="180" spans="1:13" x14ac:dyDescent="0.3">
      <c r="A180" t="s">
        <v>891</v>
      </c>
      <c r="B180" t="s">
        <v>657</v>
      </c>
      <c r="C180" t="s">
        <v>630</v>
      </c>
      <c r="D180">
        <v>2</v>
      </c>
      <c r="E180" t="s">
        <v>631</v>
      </c>
      <c r="F180" t="s">
        <v>630</v>
      </c>
      <c r="G180">
        <v>3427</v>
      </c>
      <c r="H180">
        <v>0</v>
      </c>
      <c r="I180">
        <v>138</v>
      </c>
      <c r="J180">
        <v>360</v>
      </c>
      <c r="K180">
        <v>1</v>
      </c>
      <c r="L180" t="s">
        <v>632</v>
      </c>
      <c r="M180" t="s">
        <v>637</v>
      </c>
    </row>
    <row r="181" spans="1:13" x14ac:dyDescent="0.3">
      <c r="A181" t="s">
        <v>892</v>
      </c>
      <c r="B181" t="s">
        <v>629</v>
      </c>
      <c r="C181" t="s">
        <v>630</v>
      </c>
      <c r="D181">
        <v>0</v>
      </c>
      <c r="E181" t="s">
        <v>640</v>
      </c>
      <c r="F181" t="s">
        <v>635</v>
      </c>
      <c r="G181">
        <v>2583</v>
      </c>
      <c r="H181">
        <v>2167</v>
      </c>
      <c r="I181">
        <v>104</v>
      </c>
      <c r="J181">
        <v>360</v>
      </c>
      <c r="K181">
        <v>1</v>
      </c>
      <c r="L181" t="s">
        <v>636</v>
      </c>
      <c r="M181" t="s">
        <v>633</v>
      </c>
    </row>
    <row r="182" spans="1:13" x14ac:dyDescent="0.3">
      <c r="A182" t="s">
        <v>894</v>
      </c>
      <c r="B182" t="s">
        <v>629</v>
      </c>
      <c r="C182" t="s">
        <v>630</v>
      </c>
      <c r="D182">
        <v>0</v>
      </c>
      <c r="E182" t="s">
        <v>631</v>
      </c>
      <c r="F182" t="s">
        <v>635</v>
      </c>
      <c r="G182">
        <v>16250</v>
      </c>
      <c r="H182">
        <v>0</v>
      </c>
      <c r="I182">
        <v>192</v>
      </c>
      <c r="J182">
        <v>360</v>
      </c>
      <c r="K182">
        <v>0</v>
      </c>
      <c r="L182" t="s">
        <v>632</v>
      </c>
      <c r="M182" t="s">
        <v>637</v>
      </c>
    </row>
    <row r="183" spans="1:13" x14ac:dyDescent="0.3">
      <c r="A183" t="s">
        <v>895</v>
      </c>
      <c r="B183" t="s">
        <v>657</v>
      </c>
      <c r="C183" t="s">
        <v>630</v>
      </c>
      <c r="D183" t="s">
        <v>645</v>
      </c>
      <c r="E183" t="s">
        <v>631</v>
      </c>
      <c r="F183" t="s">
        <v>630</v>
      </c>
      <c r="G183">
        <v>3083</v>
      </c>
      <c r="H183">
        <v>0</v>
      </c>
      <c r="I183">
        <v>255</v>
      </c>
      <c r="J183">
        <v>360</v>
      </c>
      <c r="K183">
        <v>1</v>
      </c>
      <c r="L183" t="s">
        <v>636</v>
      </c>
      <c r="M183" t="s">
        <v>633</v>
      </c>
    </row>
    <row r="184" spans="1:13" x14ac:dyDescent="0.3">
      <c r="A184" t="s">
        <v>896</v>
      </c>
      <c r="B184" t="s">
        <v>629</v>
      </c>
      <c r="C184" t="s">
        <v>630</v>
      </c>
      <c r="D184">
        <v>0</v>
      </c>
      <c r="E184" t="s">
        <v>640</v>
      </c>
      <c r="F184" t="s">
        <v>630</v>
      </c>
      <c r="G184">
        <v>6045</v>
      </c>
      <c r="H184">
        <v>0</v>
      </c>
      <c r="I184">
        <v>115</v>
      </c>
      <c r="J184">
        <v>360</v>
      </c>
      <c r="K184">
        <v>0</v>
      </c>
      <c r="L184" t="s">
        <v>636</v>
      </c>
      <c r="M184" t="s">
        <v>637</v>
      </c>
    </row>
    <row r="185" spans="1:13" x14ac:dyDescent="0.3">
      <c r="A185" t="s">
        <v>897</v>
      </c>
      <c r="B185" t="s">
        <v>629</v>
      </c>
      <c r="C185" t="s">
        <v>635</v>
      </c>
      <c r="D185" t="s">
        <v>645</v>
      </c>
      <c r="E185" t="s">
        <v>631</v>
      </c>
      <c r="F185" t="s">
        <v>630</v>
      </c>
      <c r="G185">
        <v>5250</v>
      </c>
      <c r="H185">
        <v>0</v>
      </c>
      <c r="I185">
        <v>94</v>
      </c>
      <c r="J185">
        <v>360</v>
      </c>
      <c r="K185">
        <v>1</v>
      </c>
      <c r="L185" t="s">
        <v>632</v>
      </c>
      <c r="M185" t="s">
        <v>637</v>
      </c>
    </row>
    <row r="186" spans="1:13" x14ac:dyDescent="0.3">
      <c r="A186" t="s">
        <v>901</v>
      </c>
      <c r="B186" t="s">
        <v>629</v>
      </c>
      <c r="C186" t="s">
        <v>630</v>
      </c>
      <c r="D186">
        <v>0</v>
      </c>
      <c r="E186" t="s">
        <v>631</v>
      </c>
      <c r="F186" t="s">
        <v>630</v>
      </c>
      <c r="G186">
        <v>2060</v>
      </c>
      <c r="H186">
        <v>2209</v>
      </c>
      <c r="I186">
        <v>134</v>
      </c>
      <c r="J186">
        <v>360</v>
      </c>
      <c r="K186">
        <v>1</v>
      </c>
      <c r="L186" t="s">
        <v>646</v>
      </c>
      <c r="M186" t="s">
        <v>633</v>
      </c>
    </row>
    <row r="187" spans="1:13" x14ac:dyDescent="0.3">
      <c r="A187" t="s">
        <v>902</v>
      </c>
      <c r="B187" t="s">
        <v>657</v>
      </c>
      <c r="C187" t="s">
        <v>630</v>
      </c>
      <c r="D187">
        <v>1</v>
      </c>
      <c r="E187" t="s">
        <v>631</v>
      </c>
      <c r="F187" t="s">
        <v>630</v>
      </c>
      <c r="G187">
        <v>3481</v>
      </c>
      <c r="H187">
        <v>0</v>
      </c>
      <c r="I187">
        <v>155</v>
      </c>
      <c r="J187">
        <v>36</v>
      </c>
      <c r="K187">
        <v>1</v>
      </c>
      <c r="L187" t="s">
        <v>646</v>
      </c>
      <c r="M187" t="s">
        <v>637</v>
      </c>
    </row>
    <row r="188" spans="1:13" x14ac:dyDescent="0.3">
      <c r="A188" t="s">
        <v>903</v>
      </c>
      <c r="B188" t="s">
        <v>657</v>
      </c>
      <c r="C188" t="s">
        <v>630</v>
      </c>
      <c r="D188">
        <v>0</v>
      </c>
      <c r="E188" t="s">
        <v>631</v>
      </c>
      <c r="F188" t="s">
        <v>630</v>
      </c>
      <c r="G188">
        <v>7200</v>
      </c>
      <c r="H188">
        <v>0</v>
      </c>
      <c r="I188">
        <v>120</v>
      </c>
      <c r="J188">
        <v>360</v>
      </c>
      <c r="K188">
        <v>1</v>
      </c>
      <c r="L188" t="s">
        <v>636</v>
      </c>
      <c r="M188" t="s">
        <v>633</v>
      </c>
    </row>
    <row r="189" spans="1:13" x14ac:dyDescent="0.3">
      <c r="A189" t="s">
        <v>904</v>
      </c>
      <c r="B189" t="s">
        <v>629</v>
      </c>
      <c r="C189" t="s">
        <v>630</v>
      </c>
      <c r="D189">
        <v>0</v>
      </c>
      <c r="E189" t="s">
        <v>631</v>
      </c>
      <c r="F189" t="s">
        <v>635</v>
      </c>
      <c r="G189">
        <v>5166</v>
      </c>
      <c r="H189">
        <v>0</v>
      </c>
      <c r="I189">
        <v>128</v>
      </c>
      <c r="J189">
        <v>360</v>
      </c>
      <c r="K189">
        <v>1</v>
      </c>
      <c r="L189" t="s">
        <v>646</v>
      </c>
      <c r="M189" t="s">
        <v>633</v>
      </c>
    </row>
    <row r="190" spans="1:13" x14ac:dyDescent="0.3">
      <c r="A190" t="s">
        <v>905</v>
      </c>
      <c r="B190" t="s">
        <v>629</v>
      </c>
      <c r="C190" t="s">
        <v>630</v>
      </c>
      <c r="D190">
        <v>0</v>
      </c>
      <c r="E190" t="s">
        <v>631</v>
      </c>
      <c r="F190" t="s">
        <v>630</v>
      </c>
      <c r="G190">
        <v>4095</v>
      </c>
      <c r="H190">
        <v>3447</v>
      </c>
      <c r="I190">
        <v>151</v>
      </c>
      <c r="J190">
        <v>360</v>
      </c>
      <c r="K190">
        <v>1</v>
      </c>
      <c r="L190" t="s">
        <v>636</v>
      </c>
      <c r="M190" t="s">
        <v>633</v>
      </c>
    </row>
    <row r="191" spans="1:13" x14ac:dyDescent="0.3">
      <c r="A191" t="s">
        <v>906</v>
      </c>
      <c r="B191" t="s">
        <v>629</v>
      </c>
      <c r="C191" t="s">
        <v>635</v>
      </c>
      <c r="D191">
        <v>2</v>
      </c>
      <c r="E191" t="s">
        <v>631</v>
      </c>
      <c r="F191" t="s">
        <v>630</v>
      </c>
      <c r="G191">
        <v>4708</v>
      </c>
      <c r="H191">
        <v>1387</v>
      </c>
      <c r="I191">
        <v>150</v>
      </c>
      <c r="J191">
        <v>360</v>
      </c>
      <c r="K191">
        <v>1</v>
      </c>
      <c r="L191" t="s">
        <v>646</v>
      </c>
      <c r="M191" t="s">
        <v>633</v>
      </c>
    </row>
    <row r="192" spans="1:13" x14ac:dyDescent="0.3">
      <c r="A192" t="s">
        <v>907</v>
      </c>
      <c r="B192" t="s">
        <v>629</v>
      </c>
      <c r="C192" t="s">
        <v>635</v>
      </c>
      <c r="D192" t="s">
        <v>645</v>
      </c>
      <c r="E192" t="s">
        <v>631</v>
      </c>
      <c r="F192" t="s">
        <v>630</v>
      </c>
      <c r="G192">
        <v>4333</v>
      </c>
      <c r="H192">
        <v>1811</v>
      </c>
      <c r="I192">
        <v>160</v>
      </c>
      <c r="J192">
        <v>360</v>
      </c>
      <c r="K192">
        <v>0</v>
      </c>
      <c r="L192" t="s">
        <v>632</v>
      </c>
      <c r="M192" t="s">
        <v>633</v>
      </c>
    </row>
    <row r="193" spans="1:13" x14ac:dyDescent="0.3">
      <c r="A193" t="s">
        <v>909</v>
      </c>
      <c r="B193" t="s">
        <v>657</v>
      </c>
      <c r="C193" t="s">
        <v>630</v>
      </c>
      <c r="D193">
        <v>1</v>
      </c>
      <c r="E193" t="s">
        <v>631</v>
      </c>
      <c r="F193" t="s">
        <v>630</v>
      </c>
      <c r="G193">
        <v>2876</v>
      </c>
      <c r="H193">
        <v>1560</v>
      </c>
      <c r="I193">
        <v>90</v>
      </c>
      <c r="J193">
        <v>360</v>
      </c>
      <c r="K193">
        <v>1</v>
      </c>
      <c r="L193" t="s">
        <v>632</v>
      </c>
      <c r="M193" t="s">
        <v>633</v>
      </c>
    </row>
    <row r="194" spans="1:13" x14ac:dyDescent="0.3">
      <c r="A194" t="s">
        <v>910</v>
      </c>
      <c r="B194" t="s">
        <v>657</v>
      </c>
      <c r="C194" t="s">
        <v>630</v>
      </c>
      <c r="D194">
        <v>0</v>
      </c>
      <c r="E194" t="s">
        <v>631</v>
      </c>
      <c r="F194" t="s">
        <v>630</v>
      </c>
      <c r="G194">
        <v>3237</v>
      </c>
      <c r="H194">
        <v>0</v>
      </c>
      <c r="I194">
        <v>30</v>
      </c>
      <c r="J194">
        <v>360</v>
      </c>
      <c r="K194">
        <v>1</v>
      </c>
      <c r="L194" t="s">
        <v>632</v>
      </c>
      <c r="M194" t="s">
        <v>633</v>
      </c>
    </row>
    <row r="195" spans="1:13" x14ac:dyDescent="0.3">
      <c r="A195" t="s">
        <v>911</v>
      </c>
      <c r="B195" t="s">
        <v>629</v>
      </c>
      <c r="C195" t="s">
        <v>635</v>
      </c>
      <c r="D195">
        <v>0</v>
      </c>
      <c r="E195" t="s">
        <v>631</v>
      </c>
      <c r="F195" t="s">
        <v>630</v>
      </c>
      <c r="G195">
        <v>11146</v>
      </c>
      <c r="H195">
        <v>0</v>
      </c>
      <c r="I195">
        <v>136</v>
      </c>
      <c r="J195">
        <v>360</v>
      </c>
      <c r="K195">
        <v>1</v>
      </c>
      <c r="L195" t="s">
        <v>632</v>
      </c>
      <c r="M195" t="s">
        <v>633</v>
      </c>
    </row>
    <row r="196" spans="1:13" x14ac:dyDescent="0.3">
      <c r="A196" t="s">
        <v>912</v>
      </c>
      <c r="B196" t="s">
        <v>629</v>
      </c>
      <c r="C196" t="s">
        <v>630</v>
      </c>
      <c r="D196">
        <v>0</v>
      </c>
      <c r="E196" t="s">
        <v>631</v>
      </c>
      <c r="F196" t="s">
        <v>630</v>
      </c>
      <c r="G196">
        <v>2833</v>
      </c>
      <c r="H196">
        <v>1857</v>
      </c>
      <c r="I196">
        <v>126</v>
      </c>
      <c r="J196">
        <v>360</v>
      </c>
      <c r="K196">
        <v>1</v>
      </c>
      <c r="L196" t="s">
        <v>636</v>
      </c>
      <c r="M196" t="s">
        <v>633</v>
      </c>
    </row>
    <row r="197" spans="1:13" x14ac:dyDescent="0.3">
      <c r="A197" t="s">
        <v>913</v>
      </c>
      <c r="B197" t="s">
        <v>629</v>
      </c>
      <c r="C197" t="s">
        <v>635</v>
      </c>
      <c r="D197">
        <v>0</v>
      </c>
      <c r="E197" t="s">
        <v>631</v>
      </c>
      <c r="F197" t="s">
        <v>630</v>
      </c>
      <c r="G197">
        <v>2620</v>
      </c>
      <c r="H197">
        <v>2223</v>
      </c>
      <c r="I197">
        <v>150</v>
      </c>
      <c r="J197">
        <v>360</v>
      </c>
      <c r="K197">
        <v>1</v>
      </c>
      <c r="L197" t="s">
        <v>646</v>
      </c>
      <c r="M197" t="s">
        <v>633</v>
      </c>
    </row>
    <row r="198" spans="1:13" x14ac:dyDescent="0.3">
      <c r="A198" t="s">
        <v>914</v>
      </c>
      <c r="B198" t="s">
        <v>629</v>
      </c>
      <c r="C198" t="s">
        <v>635</v>
      </c>
      <c r="D198">
        <v>2</v>
      </c>
      <c r="E198" t="s">
        <v>631</v>
      </c>
      <c r="F198" t="s">
        <v>630</v>
      </c>
      <c r="G198">
        <v>3900</v>
      </c>
      <c r="H198">
        <v>0</v>
      </c>
      <c r="I198">
        <v>90</v>
      </c>
      <c r="J198">
        <v>360</v>
      </c>
      <c r="K198">
        <v>1</v>
      </c>
      <c r="L198" t="s">
        <v>646</v>
      </c>
      <c r="M198" t="s">
        <v>633</v>
      </c>
    </row>
    <row r="199" spans="1:13" x14ac:dyDescent="0.3">
      <c r="A199" t="s">
        <v>915</v>
      </c>
      <c r="B199" t="s">
        <v>629</v>
      </c>
      <c r="C199" t="s">
        <v>635</v>
      </c>
      <c r="D199">
        <v>1</v>
      </c>
      <c r="E199" t="s">
        <v>631</v>
      </c>
      <c r="F199" t="s">
        <v>630</v>
      </c>
      <c r="G199">
        <v>2750</v>
      </c>
      <c r="H199">
        <v>1842</v>
      </c>
      <c r="I199">
        <v>115</v>
      </c>
      <c r="J199">
        <v>360</v>
      </c>
      <c r="K199">
        <v>1</v>
      </c>
      <c r="L199" t="s">
        <v>646</v>
      </c>
      <c r="M199" t="s">
        <v>633</v>
      </c>
    </row>
    <row r="200" spans="1:13" x14ac:dyDescent="0.3">
      <c r="A200" t="s">
        <v>916</v>
      </c>
      <c r="B200" t="s">
        <v>629</v>
      </c>
      <c r="C200" t="s">
        <v>635</v>
      </c>
      <c r="D200">
        <v>0</v>
      </c>
      <c r="E200" t="s">
        <v>631</v>
      </c>
      <c r="F200" t="s">
        <v>630</v>
      </c>
      <c r="G200">
        <v>3993</v>
      </c>
      <c r="H200">
        <v>3274</v>
      </c>
      <c r="I200">
        <v>207</v>
      </c>
      <c r="J200">
        <v>360</v>
      </c>
      <c r="K200">
        <v>1</v>
      </c>
      <c r="L200" t="s">
        <v>646</v>
      </c>
      <c r="M200" t="s">
        <v>633</v>
      </c>
    </row>
    <row r="201" spans="1:13" x14ac:dyDescent="0.3">
      <c r="A201" t="s">
        <v>917</v>
      </c>
      <c r="B201" t="s">
        <v>629</v>
      </c>
      <c r="C201" t="s">
        <v>635</v>
      </c>
      <c r="D201">
        <v>0</v>
      </c>
      <c r="E201" t="s">
        <v>631</v>
      </c>
      <c r="F201" t="s">
        <v>630</v>
      </c>
      <c r="G201">
        <v>3103</v>
      </c>
      <c r="H201">
        <v>1300</v>
      </c>
      <c r="I201">
        <v>80</v>
      </c>
      <c r="J201">
        <v>360</v>
      </c>
      <c r="K201">
        <v>1</v>
      </c>
      <c r="L201" t="s">
        <v>632</v>
      </c>
      <c r="M201" t="s">
        <v>633</v>
      </c>
    </row>
    <row r="202" spans="1:13" x14ac:dyDescent="0.3">
      <c r="A202" t="s">
        <v>920</v>
      </c>
      <c r="B202" t="s">
        <v>629</v>
      </c>
      <c r="C202" t="s">
        <v>630</v>
      </c>
      <c r="D202">
        <v>1</v>
      </c>
      <c r="E202" t="s">
        <v>640</v>
      </c>
      <c r="F202" t="s">
        <v>635</v>
      </c>
      <c r="G202">
        <v>4053</v>
      </c>
      <c r="H202">
        <v>2426</v>
      </c>
      <c r="I202">
        <v>158</v>
      </c>
      <c r="J202">
        <v>360</v>
      </c>
      <c r="K202">
        <v>0</v>
      </c>
      <c r="L202" t="s">
        <v>632</v>
      </c>
      <c r="M202" t="s">
        <v>637</v>
      </c>
    </row>
    <row r="203" spans="1:13" x14ac:dyDescent="0.3">
      <c r="A203" t="s">
        <v>921</v>
      </c>
      <c r="B203" t="s">
        <v>629</v>
      </c>
      <c r="C203" t="s">
        <v>635</v>
      </c>
      <c r="D203">
        <v>0</v>
      </c>
      <c r="E203" t="s">
        <v>631</v>
      </c>
      <c r="F203" t="s">
        <v>630</v>
      </c>
      <c r="G203">
        <v>3927</v>
      </c>
      <c r="H203">
        <v>800</v>
      </c>
      <c r="I203">
        <v>112</v>
      </c>
      <c r="J203">
        <v>360</v>
      </c>
      <c r="K203">
        <v>1</v>
      </c>
      <c r="L203" t="s">
        <v>646</v>
      </c>
      <c r="M203" t="s">
        <v>633</v>
      </c>
    </row>
    <row r="204" spans="1:13" x14ac:dyDescent="0.3">
      <c r="A204" t="s">
        <v>922</v>
      </c>
      <c r="B204" t="s">
        <v>629</v>
      </c>
      <c r="C204" t="s">
        <v>635</v>
      </c>
      <c r="D204">
        <v>2</v>
      </c>
      <c r="E204" t="s">
        <v>631</v>
      </c>
      <c r="F204" t="s">
        <v>630</v>
      </c>
      <c r="G204">
        <v>2301</v>
      </c>
      <c r="H204" s="1">
        <v>9857999878</v>
      </c>
      <c r="I204">
        <v>78</v>
      </c>
      <c r="J204">
        <v>180</v>
      </c>
      <c r="K204">
        <v>1</v>
      </c>
      <c r="L204" t="s">
        <v>632</v>
      </c>
      <c r="M204" t="s">
        <v>633</v>
      </c>
    </row>
    <row r="205" spans="1:13" x14ac:dyDescent="0.3">
      <c r="A205" t="s">
        <v>923</v>
      </c>
      <c r="B205" t="s">
        <v>657</v>
      </c>
      <c r="C205" t="s">
        <v>630</v>
      </c>
      <c r="D205">
        <v>0</v>
      </c>
      <c r="E205" t="s">
        <v>631</v>
      </c>
      <c r="F205" t="s">
        <v>630</v>
      </c>
      <c r="G205">
        <v>1811</v>
      </c>
      <c r="H205">
        <v>1666</v>
      </c>
      <c r="I205">
        <v>54</v>
      </c>
      <c r="J205">
        <v>360</v>
      </c>
      <c r="K205">
        <v>1</v>
      </c>
      <c r="L205" t="s">
        <v>632</v>
      </c>
      <c r="M205" t="s">
        <v>633</v>
      </c>
    </row>
    <row r="206" spans="1:13" x14ac:dyDescent="0.3">
      <c r="A206" t="s">
        <v>925</v>
      </c>
      <c r="B206" t="s">
        <v>629</v>
      </c>
      <c r="C206" t="s">
        <v>630</v>
      </c>
      <c r="D206">
        <v>0</v>
      </c>
      <c r="E206" t="s">
        <v>631</v>
      </c>
      <c r="F206" t="s">
        <v>630</v>
      </c>
      <c r="G206">
        <v>3158</v>
      </c>
      <c r="H206">
        <v>3053</v>
      </c>
      <c r="I206">
        <v>89</v>
      </c>
      <c r="J206">
        <v>360</v>
      </c>
      <c r="K206">
        <v>1</v>
      </c>
      <c r="L206" t="s">
        <v>636</v>
      </c>
      <c r="M206" t="s">
        <v>633</v>
      </c>
    </row>
    <row r="207" spans="1:13" x14ac:dyDescent="0.3">
      <c r="A207" t="s">
        <v>926</v>
      </c>
      <c r="B207" t="s">
        <v>657</v>
      </c>
      <c r="C207" t="s">
        <v>630</v>
      </c>
      <c r="D207">
        <v>0</v>
      </c>
      <c r="E207" t="s">
        <v>631</v>
      </c>
      <c r="F207" t="s">
        <v>635</v>
      </c>
      <c r="G207">
        <v>2600</v>
      </c>
      <c r="H207">
        <v>1717</v>
      </c>
      <c r="I207">
        <v>99</v>
      </c>
      <c r="J207">
        <v>300</v>
      </c>
      <c r="K207">
        <v>1</v>
      </c>
      <c r="L207" t="s">
        <v>646</v>
      </c>
      <c r="M207" t="s">
        <v>637</v>
      </c>
    </row>
    <row r="208" spans="1:13" x14ac:dyDescent="0.3">
      <c r="A208" t="s">
        <v>927</v>
      </c>
      <c r="B208" t="s">
        <v>629</v>
      </c>
      <c r="C208" t="s">
        <v>635</v>
      </c>
      <c r="D208">
        <v>0</v>
      </c>
      <c r="E208" t="s">
        <v>631</v>
      </c>
      <c r="F208" t="s">
        <v>630</v>
      </c>
      <c r="G208">
        <v>3704</v>
      </c>
      <c r="H208">
        <v>2000</v>
      </c>
      <c r="I208">
        <v>120</v>
      </c>
      <c r="J208">
        <v>360</v>
      </c>
      <c r="K208">
        <v>1</v>
      </c>
      <c r="L208" t="s">
        <v>636</v>
      </c>
      <c r="M208" t="s">
        <v>633</v>
      </c>
    </row>
    <row r="209" spans="1:13" x14ac:dyDescent="0.3">
      <c r="A209" t="s">
        <v>928</v>
      </c>
      <c r="B209" t="s">
        <v>657</v>
      </c>
      <c r="C209" t="s">
        <v>630</v>
      </c>
      <c r="D209">
        <v>0</v>
      </c>
      <c r="E209" t="s">
        <v>631</v>
      </c>
      <c r="F209" t="s">
        <v>630</v>
      </c>
      <c r="G209">
        <v>4124</v>
      </c>
      <c r="H209">
        <v>0</v>
      </c>
      <c r="I209">
        <v>115</v>
      </c>
      <c r="J209">
        <v>360</v>
      </c>
      <c r="K209">
        <v>1</v>
      </c>
      <c r="L209" t="s">
        <v>646</v>
      </c>
      <c r="M209" t="s">
        <v>633</v>
      </c>
    </row>
    <row r="210" spans="1:13" x14ac:dyDescent="0.3">
      <c r="A210" t="s">
        <v>929</v>
      </c>
      <c r="B210" t="s">
        <v>629</v>
      </c>
      <c r="C210" t="s">
        <v>630</v>
      </c>
      <c r="D210">
        <v>0</v>
      </c>
      <c r="E210" t="s">
        <v>631</v>
      </c>
      <c r="F210" t="s">
        <v>630</v>
      </c>
      <c r="G210">
        <v>9508</v>
      </c>
      <c r="H210">
        <v>0</v>
      </c>
      <c r="I210">
        <v>187</v>
      </c>
      <c r="J210">
        <v>360</v>
      </c>
      <c r="K210">
        <v>1</v>
      </c>
      <c r="L210" t="s">
        <v>636</v>
      </c>
      <c r="M210" t="s">
        <v>633</v>
      </c>
    </row>
    <row r="211" spans="1:13" x14ac:dyDescent="0.3">
      <c r="A211" t="s">
        <v>930</v>
      </c>
      <c r="B211" t="s">
        <v>629</v>
      </c>
      <c r="C211" t="s">
        <v>635</v>
      </c>
      <c r="D211">
        <v>0</v>
      </c>
      <c r="E211" t="s">
        <v>631</v>
      </c>
      <c r="F211" t="s">
        <v>630</v>
      </c>
      <c r="G211">
        <v>3075</v>
      </c>
      <c r="H211">
        <v>2416</v>
      </c>
      <c r="I211">
        <v>139</v>
      </c>
      <c r="J211">
        <v>360</v>
      </c>
      <c r="K211">
        <v>1</v>
      </c>
      <c r="L211" t="s">
        <v>636</v>
      </c>
      <c r="M211" t="s">
        <v>633</v>
      </c>
    </row>
    <row r="212" spans="1:13" x14ac:dyDescent="0.3">
      <c r="A212" t="s">
        <v>931</v>
      </c>
      <c r="B212" t="s">
        <v>629</v>
      </c>
      <c r="C212" t="s">
        <v>635</v>
      </c>
      <c r="D212">
        <v>2</v>
      </c>
      <c r="E212" t="s">
        <v>631</v>
      </c>
      <c r="F212" t="s">
        <v>630</v>
      </c>
      <c r="G212">
        <v>4400</v>
      </c>
      <c r="H212">
        <v>0</v>
      </c>
      <c r="I212">
        <v>127</v>
      </c>
      <c r="J212">
        <v>360</v>
      </c>
      <c r="K212">
        <v>0</v>
      </c>
      <c r="L212" t="s">
        <v>646</v>
      </c>
      <c r="M212" t="s">
        <v>637</v>
      </c>
    </row>
    <row r="213" spans="1:13" x14ac:dyDescent="0.3">
      <c r="A213" t="s">
        <v>932</v>
      </c>
      <c r="B213" t="s">
        <v>629</v>
      </c>
      <c r="C213" t="s">
        <v>635</v>
      </c>
      <c r="D213">
        <v>2</v>
      </c>
      <c r="E213" t="s">
        <v>631</v>
      </c>
      <c r="F213" t="s">
        <v>630</v>
      </c>
      <c r="G213">
        <v>3153</v>
      </c>
      <c r="H213">
        <v>1560</v>
      </c>
      <c r="I213">
        <v>134</v>
      </c>
      <c r="J213">
        <v>360</v>
      </c>
      <c r="K213">
        <v>1</v>
      </c>
      <c r="L213" t="s">
        <v>632</v>
      </c>
      <c r="M213" t="s">
        <v>633</v>
      </c>
    </row>
    <row r="214" spans="1:13" x14ac:dyDescent="0.3">
      <c r="A214" t="s">
        <v>934</v>
      </c>
      <c r="B214" t="s">
        <v>629</v>
      </c>
      <c r="C214" t="s">
        <v>635</v>
      </c>
      <c r="D214">
        <v>0</v>
      </c>
      <c r="E214" t="s">
        <v>631</v>
      </c>
      <c r="F214" t="s">
        <v>630</v>
      </c>
      <c r="G214">
        <v>2383</v>
      </c>
      <c r="H214">
        <v>3334</v>
      </c>
      <c r="I214">
        <v>172</v>
      </c>
      <c r="J214">
        <v>360</v>
      </c>
      <c r="K214">
        <v>1</v>
      </c>
      <c r="L214" t="s">
        <v>646</v>
      </c>
      <c r="M214" t="s">
        <v>633</v>
      </c>
    </row>
    <row r="215" spans="1:13" x14ac:dyDescent="0.3">
      <c r="A215" t="s">
        <v>936</v>
      </c>
      <c r="B215" t="s">
        <v>629</v>
      </c>
      <c r="C215" t="s">
        <v>635</v>
      </c>
      <c r="D215">
        <v>1</v>
      </c>
      <c r="E215" t="s">
        <v>631</v>
      </c>
      <c r="F215" t="s">
        <v>630</v>
      </c>
      <c r="G215">
        <v>6875</v>
      </c>
      <c r="H215">
        <v>0</v>
      </c>
      <c r="I215">
        <v>200</v>
      </c>
      <c r="J215">
        <v>360</v>
      </c>
      <c r="K215">
        <v>1</v>
      </c>
      <c r="L215" t="s">
        <v>646</v>
      </c>
      <c r="M215" t="s">
        <v>633</v>
      </c>
    </row>
    <row r="216" spans="1:13" x14ac:dyDescent="0.3">
      <c r="A216" t="s">
        <v>937</v>
      </c>
      <c r="B216" t="s">
        <v>657</v>
      </c>
      <c r="C216" t="s">
        <v>635</v>
      </c>
      <c r="D216">
        <v>1</v>
      </c>
      <c r="E216" t="s">
        <v>631</v>
      </c>
      <c r="F216" t="s">
        <v>630</v>
      </c>
      <c r="G216">
        <v>4666</v>
      </c>
      <c r="H216">
        <v>0</v>
      </c>
      <c r="I216">
        <v>135</v>
      </c>
      <c r="J216">
        <v>360</v>
      </c>
      <c r="K216">
        <v>1</v>
      </c>
      <c r="L216" t="s">
        <v>632</v>
      </c>
      <c r="M216" t="s">
        <v>633</v>
      </c>
    </row>
    <row r="217" spans="1:13" x14ac:dyDescent="0.3">
      <c r="A217" t="s">
        <v>938</v>
      </c>
      <c r="B217" t="s">
        <v>657</v>
      </c>
      <c r="C217" t="s">
        <v>630</v>
      </c>
      <c r="D217">
        <v>0</v>
      </c>
      <c r="E217" t="s">
        <v>631</v>
      </c>
      <c r="F217" t="s">
        <v>630</v>
      </c>
      <c r="G217">
        <v>5000</v>
      </c>
      <c r="H217">
        <v>2541</v>
      </c>
      <c r="I217">
        <v>151</v>
      </c>
      <c r="J217">
        <v>480</v>
      </c>
      <c r="K217">
        <v>1</v>
      </c>
      <c r="L217" t="s">
        <v>636</v>
      </c>
      <c r="M217" t="s">
        <v>637</v>
      </c>
    </row>
    <row r="218" spans="1:13" x14ac:dyDescent="0.3">
      <c r="A218" t="s">
        <v>939</v>
      </c>
      <c r="B218" t="s">
        <v>629</v>
      </c>
      <c r="C218" t="s">
        <v>635</v>
      </c>
      <c r="D218">
        <v>1</v>
      </c>
      <c r="E218" t="s">
        <v>631</v>
      </c>
      <c r="F218" t="s">
        <v>630</v>
      </c>
      <c r="G218">
        <v>2014</v>
      </c>
      <c r="H218">
        <v>2925</v>
      </c>
      <c r="I218">
        <v>113</v>
      </c>
      <c r="J218">
        <v>360</v>
      </c>
      <c r="K218">
        <v>1</v>
      </c>
      <c r="L218" t="s">
        <v>632</v>
      </c>
      <c r="M218" t="s">
        <v>637</v>
      </c>
    </row>
    <row r="219" spans="1:13" x14ac:dyDescent="0.3">
      <c r="A219" t="s">
        <v>940</v>
      </c>
      <c r="B219" t="s">
        <v>629</v>
      </c>
      <c r="C219" t="s">
        <v>635</v>
      </c>
      <c r="D219">
        <v>0</v>
      </c>
      <c r="E219" t="s">
        <v>640</v>
      </c>
      <c r="F219" t="s">
        <v>630</v>
      </c>
      <c r="G219">
        <v>1800</v>
      </c>
      <c r="H219">
        <v>2934</v>
      </c>
      <c r="I219">
        <v>93</v>
      </c>
      <c r="J219">
        <v>360</v>
      </c>
      <c r="K219">
        <v>0</v>
      </c>
      <c r="L219" t="s">
        <v>632</v>
      </c>
      <c r="M219" t="s">
        <v>637</v>
      </c>
    </row>
    <row r="220" spans="1:13" x14ac:dyDescent="0.3">
      <c r="A220" t="s">
        <v>942</v>
      </c>
      <c r="B220" t="s">
        <v>657</v>
      </c>
      <c r="C220" t="s">
        <v>630</v>
      </c>
      <c r="D220">
        <v>0</v>
      </c>
      <c r="E220" t="s">
        <v>631</v>
      </c>
      <c r="F220" t="s">
        <v>630</v>
      </c>
      <c r="G220">
        <v>5000</v>
      </c>
      <c r="H220">
        <v>0</v>
      </c>
      <c r="I220">
        <v>132</v>
      </c>
      <c r="J220">
        <v>360</v>
      </c>
      <c r="K220">
        <v>1</v>
      </c>
      <c r="L220" t="s">
        <v>636</v>
      </c>
      <c r="M220" t="s">
        <v>633</v>
      </c>
    </row>
    <row r="221" spans="1:13" x14ac:dyDescent="0.3">
      <c r="A221" t="s">
        <v>943</v>
      </c>
      <c r="B221" t="s">
        <v>629</v>
      </c>
      <c r="C221" t="s">
        <v>635</v>
      </c>
      <c r="D221">
        <v>1</v>
      </c>
      <c r="E221" t="s">
        <v>631</v>
      </c>
      <c r="F221" t="s">
        <v>630</v>
      </c>
      <c r="G221">
        <v>1625</v>
      </c>
      <c r="H221">
        <v>1803</v>
      </c>
      <c r="I221">
        <v>96</v>
      </c>
      <c r="J221">
        <v>360</v>
      </c>
      <c r="K221">
        <v>1</v>
      </c>
      <c r="L221" t="s">
        <v>632</v>
      </c>
      <c r="M221" t="s">
        <v>633</v>
      </c>
    </row>
    <row r="222" spans="1:13" x14ac:dyDescent="0.3">
      <c r="A222" t="s">
        <v>944</v>
      </c>
      <c r="B222" t="s">
        <v>629</v>
      </c>
      <c r="C222" t="s">
        <v>630</v>
      </c>
      <c r="D222">
        <v>0</v>
      </c>
      <c r="E222" t="s">
        <v>631</v>
      </c>
      <c r="F222" t="s">
        <v>630</v>
      </c>
      <c r="G222">
        <v>4000</v>
      </c>
      <c r="H222">
        <v>2500</v>
      </c>
      <c r="I222">
        <v>140</v>
      </c>
      <c r="J222">
        <v>360</v>
      </c>
      <c r="K222">
        <v>1</v>
      </c>
      <c r="L222" t="s">
        <v>636</v>
      </c>
      <c r="M222" t="s">
        <v>633</v>
      </c>
    </row>
    <row r="223" spans="1:13" x14ac:dyDescent="0.3">
      <c r="A223" t="s">
        <v>946</v>
      </c>
      <c r="B223" t="s">
        <v>657</v>
      </c>
      <c r="C223" t="s">
        <v>630</v>
      </c>
      <c r="D223">
        <v>0</v>
      </c>
      <c r="E223" t="s">
        <v>631</v>
      </c>
      <c r="F223" t="s">
        <v>630</v>
      </c>
      <c r="G223">
        <v>3762</v>
      </c>
      <c r="H223">
        <v>1666</v>
      </c>
      <c r="I223">
        <v>135</v>
      </c>
      <c r="J223">
        <v>360</v>
      </c>
      <c r="K223">
        <v>1</v>
      </c>
      <c r="L223" t="s">
        <v>636</v>
      </c>
      <c r="M223" t="s">
        <v>633</v>
      </c>
    </row>
    <row r="224" spans="1:13" x14ac:dyDescent="0.3">
      <c r="A224" t="s">
        <v>947</v>
      </c>
      <c r="B224" t="s">
        <v>657</v>
      </c>
      <c r="C224" t="s">
        <v>630</v>
      </c>
      <c r="D224">
        <v>0</v>
      </c>
      <c r="E224" t="s">
        <v>631</v>
      </c>
      <c r="F224" t="s">
        <v>630</v>
      </c>
      <c r="G224">
        <v>2400</v>
      </c>
      <c r="H224">
        <v>1863</v>
      </c>
      <c r="I224">
        <v>104</v>
      </c>
      <c r="J224">
        <v>360</v>
      </c>
      <c r="K224">
        <v>0</v>
      </c>
      <c r="L224" t="s">
        <v>632</v>
      </c>
      <c r="M224" t="s">
        <v>637</v>
      </c>
    </row>
    <row r="225" spans="1:13" x14ac:dyDescent="0.3">
      <c r="A225" t="s">
        <v>950</v>
      </c>
      <c r="B225" t="s">
        <v>657</v>
      </c>
      <c r="C225" t="s">
        <v>630</v>
      </c>
      <c r="D225">
        <v>0</v>
      </c>
      <c r="E225" t="s">
        <v>631</v>
      </c>
      <c r="F225" t="s">
        <v>630</v>
      </c>
      <c r="G225">
        <v>2917</v>
      </c>
      <c r="H225">
        <v>0</v>
      </c>
      <c r="I225">
        <v>84</v>
      </c>
      <c r="J225">
        <v>360</v>
      </c>
      <c r="K225">
        <v>1</v>
      </c>
      <c r="L225" t="s">
        <v>646</v>
      </c>
      <c r="M225" t="s">
        <v>633</v>
      </c>
    </row>
    <row r="226" spans="1:13" x14ac:dyDescent="0.3">
      <c r="A226" t="s">
        <v>951</v>
      </c>
      <c r="B226" t="s">
        <v>629</v>
      </c>
      <c r="C226" t="s">
        <v>630</v>
      </c>
      <c r="D226">
        <v>0</v>
      </c>
      <c r="E226" t="s">
        <v>640</v>
      </c>
      <c r="F226" t="s">
        <v>630</v>
      </c>
      <c r="G226">
        <v>2927</v>
      </c>
      <c r="H226">
        <v>2405</v>
      </c>
      <c r="I226">
        <v>111</v>
      </c>
      <c r="J226">
        <v>360</v>
      </c>
      <c r="K226">
        <v>1</v>
      </c>
      <c r="L226" t="s">
        <v>646</v>
      </c>
      <c r="M226" t="s">
        <v>633</v>
      </c>
    </row>
    <row r="227" spans="1:13" x14ac:dyDescent="0.3">
      <c r="A227" t="s">
        <v>952</v>
      </c>
      <c r="B227" t="s">
        <v>657</v>
      </c>
      <c r="C227" t="s">
        <v>630</v>
      </c>
      <c r="D227">
        <v>0</v>
      </c>
      <c r="E227" t="s">
        <v>631</v>
      </c>
      <c r="F227" t="s">
        <v>630</v>
      </c>
      <c r="G227">
        <v>2507</v>
      </c>
      <c r="H227">
        <v>0</v>
      </c>
      <c r="I227">
        <v>56</v>
      </c>
      <c r="J227">
        <v>360</v>
      </c>
      <c r="K227">
        <v>1</v>
      </c>
      <c r="L227" t="s">
        <v>636</v>
      </c>
      <c r="M227" t="s">
        <v>633</v>
      </c>
    </row>
    <row r="228" spans="1:13" x14ac:dyDescent="0.3">
      <c r="A228" t="s">
        <v>955</v>
      </c>
      <c r="B228" t="s">
        <v>629</v>
      </c>
      <c r="C228" t="s">
        <v>635</v>
      </c>
      <c r="D228">
        <v>1</v>
      </c>
      <c r="E228" t="s">
        <v>640</v>
      </c>
      <c r="F228" t="s">
        <v>630</v>
      </c>
      <c r="G228">
        <v>3399</v>
      </c>
      <c r="H228">
        <v>1640</v>
      </c>
      <c r="I228">
        <v>111</v>
      </c>
      <c r="J228">
        <v>180</v>
      </c>
      <c r="K228">
        <v>1</v>
      </c>
      <c r="L228" t="s">
        <v>632</v>
      </c>
      <c r="M228" t="s">
        <v>633</v>
      </c>
    </row>
    <row r="229" spans="1:13" x14ac:dyDescent="0.3">
      <c r="A229" t="s">
        <v>956</v>
      </c>
      <c r="B229" t="s">
        <v>629</v>
      </c>
      <c r="C229" t="s">
        <v>635</v>
      </c>
      <c r="D229">
        <v>2</v>
      </c>
      <c r="E229" t="s">
        <v>631</v>
      </c>
      <c r="F229" t="s">
        <v>630</v>
      </c>
      <c r="G229">
        <v>3717</v>
      </c>
      <c r="H229">
        <v>0</v>
      </c>
      <c r="I229">
        <v>120</v>
      </c>
      <c r="J229">
        <v>360</v>
      </c>
      <c r="K229">
        <v>1</v>
      </c>
      <c r="L229" t="s">
        <v>646</v>
      </c>
      <c r="M229" t="s">
        <v>633</v>
      </c>
    </row>
    <row r="230" spans="1:13" x14ac:dyDescent="0.3">
      <c r="A230" t="s">
        <v>959</v>
      </c>
      <c r="B230" t="s">
        <v>629</v>
      </c>
      <c r="C230" t="s">
        <v>635</v>
      </c>
      <c r="D230">
        <v>1</v>
      </c>
      <c r="E230" t="s">
        <v>631</v>
      </c>
      <c r="F230" t="s">
        <v>635</v>
      </c>
      <c r="G230">
        <v>10000</v>
      </c>
      <c r="H230">
        <v>0</v>
      </c>
      <c r="I230">
        <v>155</v>
      </c>
      <c r="J230">
        <v>360</v>
      </c>
      <c r="K230">
        <v>1</v>
      </c>
      <c r="L230" t="s">
        <v>636</v>
      </c>
      <c r="M230" t="s">
        <v>637</v>
      </c>
    </row>
    <row r="231" spans="1:13" x14ac:dyDescent="0.3">
      <c r="A231" t="s">
        <v>960</v>
      </c>
      <c r="B231" t="s">
        <v>629</v>
      </c>
      <c r="C231" t="s">
        <v>635</v>
      </c>
      <c r="D231">
        <v>0</v>
      </c>
      <c r="E231" t="s">
        <v>631</v>
      </c>
      <c r="F231" t="s">
        <v>630</v>
      </c>
      <c r="G231">
        <v>2400</v>
      </c>
      <c r="H231">
        <v>2167</v>
      </c>
      <c r="I231">
        <v>115</v>
      </c>
      <c r="J231">
        <v>360</v>
      </c>
      <c r="K231">
        <v>1</v>
      </c>
      <c r="L231" t="s">
        <v>646</v>
      </c>
      <c r="M231" t="s">
        <v>633</v>
      </c>
    </row>
    <row r="232" spans="1:13" x14ac:dyDescent="0.3">
      <c r="A232" t="s">
        <v>961</v>
      </c>
      <c r="B232" t="s">
        <v>629</v>
      </c>
      <c r="C232" t="s">
        <v>635</v>
      </c>
      <c r="D232" t="s">
        <v>645</v>
      </c>
      <c r="E232" t="s">
        <v>631</v>
      </c>
      <c r="F232" t="s">
        <v>630</v>
      </c>
      <c r="G232">
        <v>4342</v>
      </c>
      <c r="H232">
        <v>189</v>
      </c>
      <c r="I232">
        <v>124</v>
      </c>
      <c r="J232">
        <v>360</v>
      </c>
      <c r="K232">
        <v>1</v>
      </c>
      <c r="L232" t="s">
        <v>646</v>
      </c>
      <c r="M232" t="s">
        <v>633</v>
      </c>
    </row>
    <row r="233" spans="1:13" x14ac:dyDescent="0.3">
      <c r="A233" t="s">
        <v>966</v>
      </c>
      <c r="B233" t="s">
        <v>629</v>
      </c>
      <c r="C233" t="s">
        <v>630</v>
      </c>
      <c r="D233">
        <v>0</v>
      </c>
      <c r="E233" t="s">
        <v>631</v>
      </c>
      <c r="F233" t="s">
        <v>630</v>
      </c>
      <c r="G233">
        <v>4917</v>
      </c>
      <c r="H233">
        <v>0</v>
      </c>
      <c r="I233">
        <v>130</v>
      </c>
      <c r="J233">
        <v>360</v>
      </c>
      <c r="K233">
        <v>0</v>
      </c>
      <c r="L233" t="s">
        <v>636</v>
      </c>
      <c r="M233" t="s">
        <v>633</v>
      </c>
    </row>
    <row r="234" spans="1:13" x14ac:dyDescent="0.3">
      <c r="A234" t="s">
        <v>967</v>
      </c>
      <c r="B234" t="s">
        <v>629</v>
      </c>
      <c r="C234" t="s">
        <v>635</v>
      </c>
      <c r="D234">
        <v>0</v>
      </c>
      <c r="E234" t="s">
        <v>631</v>
      </c>
      <c r="F234" t="s">
        <v>635</v>
      </c>
      <c r="G234">
        <v>5818</v>
      </c>
      <c r="H234">
        <v>2160</v>
      </c>
      <c r="I234">
        <v>184</v>
      </c>
      <c r="J234">
        <v>360</v>
      </c>
      <c r="K234">
        <v>1</v>
      </c>
      <c r="L234" t="s">
        <v>646</v>
      </c>
      <c r="M234" t="s">
        <v>633</v>
      </c>
    </row>
    <row r="235" spans="1:13" x14ac:dyDescent="0.3">
      <c r="A235" t="s">
        <v>968</v>
      </c>
      <c r="B235" t="s">
        <v>657</v>
      </c>
      <c r="C235" t="s">
        <v>635</v>
      </c>
      <c r="D235">
        <v>0</v>
      </c>
      <c r="E235" t="s">
        <v>631</v>
      </c>
      <c r="F235" t="s">
        <v>630</v>
      </c>
      <c r="G235">
        <v>4333</v>
      </c>
      <c r="H235">
        <v>2451</v>
      </c>
      <c r="I235">
        <v>110</v>
      </c>
      <c r="J235">
        <v>360</v>
      </c>
      <c r="K235">
        <v>1</v>
      </c>
      <c r="L235" t="s">
        <v>632</v>
      </c>
      <c r="M235" t="s">
        <v>637</v>
      </c>
    </row>
    <row r="236" spans="1:13" x14ac:dyDescent="0.3">
      <c r="A236" t="s">
        <v>969</v>
      </c>
      <c r="B236" t="s">
        <v>657</v>
      </c>
      <c r="C236" t="s">
        <v>630</v>
      </c>
      <c r="D236">
        <v>0</v>
      </c>
      <c r="E236" t="s">
        <v>631</v>
      </c>
      <c r="F236" t="s">
        <v>630</v>
      </c>
      <c r="G236">
        <v>2500</v>
      </c>
      <c r="H236">
        <v>0</v>
      </c>
      <c r="I236">
        <v>67</v>
      </c>
      <c r="J236">
        <v>360</v>
      </c>
      <c r="K236">
        <v>1</v>
      </c>
      <c r="L236" t="s">
        <v>632</v>
      </c>
      <c r="M236" t="s">
        <v>633</v>
      </c>
    </row>
    <row r="237" spans="1:13" x14ac:dyDescent="0.3">
      <c r="A237" t="s">
        <v>970</v>
      </c>
      <c r="B237" t="s">
        <v>629</v>
      </c>
      <c r="C237" t="s">
        <v>630</v>
      </c>
      <c r="D237">
        <v>1</v>
      </c>
      <c r="E237" t="s">
        <v>631</v>
      </c>
      <c r="F237" t="s">
        <v>630</v>
      </c>
      <c r="G237">
        <v>4384</v>
      </c>
      <c r="H237">
        <v>1793</v>
      </c>
      <c r="I237">
        <v>117</v>
      </c>
      <c r="J237">
        <v>360</v>
      </c>
      <c r="K237">
        <v>1</v>
      </c>
      <c r="L237" t="s">
        <v>632</v>
      </c>
      <c r="M237" t="s">
        <v>633</v>
      </c>
    </row>
    <row r="238" spans="1:13" x14ac:dyDescent="0.3">
      <c r="A238" t="s">
        <v>971</v>
      </c>
      <c r="B238" t="s">
        <v>629</v>
      </c>
      <c r="C238" t="s">
        <v>630</v>
      </c>
      <c r="D238">
        <v>0</v>
      </c>
      <c r="E238" t="s">
        <v>631</v>
      </c>
      <c r="F238" t="s">
        <v>630</v>
      </c>
      <c r="G238">
        <v>2935</v>
      </c>
      <c r="H238">
        <v>0</v>
      </c>
      <c r="I238">
        <v>98</v>
      </c>
      <c r="J238">
        <v>360</v>
      </c>
      <c r="K238">
        <v>1</v>
      </c>
      <c r="L238" t="s">
        <v>646</v>
      </c>
      <c r="M238" t="s">
        <v>633</v>
      </c>
    </row>
    <row r="239" spans="1:13" x14ac:dyDescent="0.3">
      <c r="A239" t="s">
        <v>977</v>
      </c>
      <c r="B239" t="s">
        <v>629</v>
      </c>
      <c r="C239" t="s">
        <v>635</v>
      </c>
      <c r="D239">
        <v>2</v>
      </c>
      <c r="E239" t="s">
        <v>631</v>
      </c>
      <c r="F239" t="s">
        <v>635</v>
      </c>
      <c r="G239">
        <v>2500</v>
      </c>
      <c r="H239">
        <v>4600</v>
      </c>
      <c r="I239">
        <v>176</v>
      </c>
      <c r="J239">
        <v>360</v>
      </c>
      <c r="K239">
        <v>1</v>
      </c>
      <c r="L239" t="s">
        <v>636</v>
      </c>
      <c r="M239" t="s">
        <v>633</v>
      </c>
    </row>
    <row r="240" spans="1:13" x14ac:dyDescent="0.3">
      <c r="A240" t="s">
        <v>979</v>
      </c>
      <c r="B240" t="s">
        <v>657</v>
      </c>
      <c r="C240" t="s">
        <v>630</v>
      </c>
      <c r="D240">
        <v>0</v>
      </c>
      <c r="E240" t="s">
        <v>631</v>
      </c>
      <c r="F240" t="s">
        <v>630</v>
      </c>
      <c r="G240">
        <v>4160</v>
      </c>
      <c r="H240">
        <v>0</v>
      </c>
      <c r="I240">
        <v>71</v>
      </c>
      <c r="J240">
        <v>360</v>
      </c>
      <c r="K240">
        <v>1</v>
      </c>
      <c r="L240" t="s">
        <v>646</v>
      </c>
      <c r="M240" t="s">
        <v>633</v>
      </c>
    </row>
    <row r="241" spans="1:13" x14ac:dyDescent="0.3">
      <c r="A241" t="s">
        <v>980</v>
      </c>
      <c r="B241" t="s">
        <v>629</v>
      </c>
      <c r="C241" t="s">
        <v>635</v>
      </c>
      <c r="D241" t="s">
        <v>645</v>
      </c>
      <c r="E241" t="s">
        <v>640</v>
      </c>
      <c r="F241" t="s">
        <v>630</v>
      </c>
      <c r="G241">
        <v>2647</v>
      </c>
      <c r="H241">
        <v>1587</v>
      </c>
      <c r="I241">
        <v>173</v>
      </c>
      <c r="J241">
        <v>360</v>
      </c>
      <c r="K241">
        <v>1</v>
      </c>
      <c r="L241" t="s">
        <v>636</v>
      </c>
      <c r="M241" t="s">
        <v>637</v>
      </c>
    </row>
    <row r="242" spans="1:13" x14ac:dyDescent="0.3">
      <c r="A242" t="s">
        <v>981</v>
      </c>
      <c r="B242" t="s">
        <v>657</v>
      </c>
      <c r="C242" t="s">
        <v>630</v>
      </c>
      <c r="D242">
        <v>0</v>
      </c>
      <c r="E242" t="s">
        <v>631</v>
      </c>
      <c r="F242" t="s">
        <v>630</v>
      </c>
      <c r="G242">
        <v>2378</v>
      </c>
      <c r="H242">
        <v>0</v>
      </c>
      <c r="I242">
        <v>46</v>
      </c>
      <c r="J242">
        <v>360</v>
      </c>
      <c r="K242">
        <v>1</v>
      </c>
      <c r="L242" t="s">
        <v>636</v>
      </c>
      <c r="M242" t="s">
        <v>637</v>
      </c>
    </row>
    <row r="243" spans="1:13" x14ac:dyDescent="0.3">
      <c r="A243" t="s">
        <v>982</v>
      </c>
      <c r="B243" t="s">
        <v>629</v>
      </c>
      <c r="C243" t="s">
        <v>635</v>
      </c>
      <c r="D243">
        <v>1</v>
      </c>
      <c r="E243" t="s">
        <v>640</v>
      </c>
      <c r="F243" t="s">
        <v>630</v>
      </c>
      <c r="G243">
        <v>4554</v>
      </c>
      <c r="H243">
        <v>1229</v>
      </c>
      <c r="I243">
        <v>158</v>
      </c>
      <c r="J243">
        <v>360</v>
      </c>
      <c r="K243">
        <v>1</v>
      </c>
      <c r="L243" t="s">
        <v>632</v>
      </c>
      <c r="M243" t="s">
        <v>633</v>
      </c>
    </row>
    <row r="244" spans="1:13" x14ac:dyDescent="0.3">
      <c r="A244" t="s">
        <v>983</v>
      </c>
      <c r="B244" t="s">
        <v>629</v>
      </c>
      <c r="C244" t="s">
        <v>635</v>
      </c>
      <c r="D244" t="s">
        <v>645</v>
      </c>
      <c r="E244" t="s">
        <v>640</v>
      </c>
      <c r="F244" t="s">
        <v>630</v>
      </c>
      <c r="G244">
        <v>3173</v>
      </c>
      <c r="H244">
        <v>0</v>
      </c>
      <c r="I244">
        <v>74</v>
      </c>
      <c r="J244">
        <v>360</v>
      </c>
      <c r="K244">
        <v>1</v>
      </c>
      <c r="L244" t="s">
        <v>646</v>
      </c>
      <c r="M244" t="s">
        <v>633</v>
      </c>
    </row>
    <row r="245" spans="1:13" x14ac:dyDescent="0.3">
      <c r="A245" t="s">
        <v>985</v>
      </c>
      <c r="B245" t="s">
        <v>629</v>
      </c>
      <c r="C245" t="s">
        <v>635</v>
      </c>
      <c r="D245">
        <v>0</v>
      </c>
      <c r="E245" t="s">
        <v>631</v>
      </c>
      <c r="F245" t="s">
        <v>630</v>
      </c>
      <c r="G245">
        <v>2499</v>
      </c>
      <c r="H245">
        <v>2458</v>
      </c>
      <c r="I245">
        <v>160</v>
      </c>
      <c r="J245">
        <v>360</v>
      </c>
      <c r="K245">
        <v>1</v>
      </c>
      <c r="L245" t="s">
        <v>646</v>
      </c>
      <c r="M245" t="s">
        <v>633</v>
      </c>
    </row>
    <row r="246" spans="1:13" x14ac:dyDescent="0.3">
      <c r="A246" t="s">
        <v>987</v>
      </c>
      <c r="B246" t="s">
        <v>629</v>
      </c>
      <c r="C246" t="s">
        <v>635</v>
      </c>
      <c r="D246">
        <v>2</v>
      </c>
      <c r="E246" t="s">
        <v>640</v>
      </c>
      <c r="F246" t="s">
        <v>630</v>
      </c>
      <c r="G246">
        <v>3083</v>
      </c>
      <c r="H246">
        <v>2168</v>
      </c>
      <c r="I246">
        <v>126</v>
      </c>
      <c r="J246">
        <v>360</v>
      </c>
      <c r="K246">
        <v>1</v>
      </c>
      <c r="L246" t="s">
        <v>632</v>
      </c>
      <c r="M246" t="s">
        <v>633</v>
      </c>
    </row>
    <row r="247" spans="1:13" x14ac:dyDescent="0.3">
      <c r="A247" t="s">
        <v>989</v>
      </c>
      <c r="B247" t="s">
        <v>629</v>
      </c>
      <c r="C247" t="s">
        <v>635</v>
      </c>
      <c r="D247">
        <v>0</v>
      </c>
      <c r="E247" t="s">
        <v>631</v>
      </c>
      <c r="F247" t="s">
        <v>630</v>
      </c>
      <c r="G247">
        <v>2625</v>
      </c>
      <c r="H247">
        <v>6250</v>
      </c>
      <c r="I247">
        <v>187</v>
      </c>
      <c r="J247">
        <v>360</v>
      </c>
      <c r="K247">
        <v>1</v>
      </c>
      <c r="L247" t="s">
        <v>636</v>
      </c>
      <c r="M247" t="s">
        <v>633</v>
      </c>
    </row>
    <row r="248" spans="1:13" x14ac:dyDescent="0.3">
      <c r="A248" t="s">
        <v>990</v>
      </c>
      <c r="B248" t="s">
        <v>629</v>
      </c>
      <c r="C248" t="s">
        <v>635</v>
      </c>
      <c r="D248">
        <v>0</v>
      </c>
      <c r="E248" t="s">
        <v>631</v>
      </c>
      <c r="F248" t="s">
        <v>630</v>
      </c>
      <c r="G248">
        <v>9083</v>
      </c>
      <c r="H248">
        <v>0</v>
      </c>
      <c r="I248">
        <v>228</v>
      </c>
      <c r="J248">
        <v>360</v>
      </c>
      <c r="K248">
        <v>1</v>
      </c>
      <c r="L248" t="s">
        <v>646</v>
      </c>
      <c r="M248" t="s">
        <v>633</v>
      </c>
    </row>
    <row r="249" spans="1:13" x14ac:dyDescent="0.3">
      <c r="A249" t="s">
        <v>992</v>
      </c>
      <c r="B249" t="s">
        <v>629</v>
      </c>
      <c r="C249" t="s">
        <v>635</v>
      </c>
      <c r="D249" t="s">
        <v>645</v>
      </c>
      <c r="E249" t="s">
        <v>631</v>
      </c>
      <c r="F249" t="s">
        <v>630</v>
      </c>
      <c r="G249">
        <v>2666</v>
      </c>
      <c r="H249">
        <v>2083</v>
      </c>
      <c r="I249">
        <v>95</v>
      </c>
      <c r="J249">
        <v>360</v>
      </c>
      <c r="K249">
        <v>1</v>
      </c>
      <c r="L249" t="s">
        <v>636</v>
      </c>
      <c r="M249" t="s">
        <v>633</v>
      </c>
    </row>
    <row r="250" spans="1:13" x14ac:dyDescent="0.3">
      <c r="A250" t="s">
        <v>993</v>
      </c>
      <c r="B250" t="s">
        <v>657</v>
      </c>
      <c r="C250" t="s">
        <v>635</v>
      </c>
      <c r="D250">
        <v>0</v>
      </c>
      <c r="E250" t="s">
        <v>631</v>
      </c>
      <c r="F250" t="s">
        <v>635</v>
      </c>
      <c r="G250">
        <v>5500</v>
      </c>
      <c r="H250">
        <v>0</v>
      </c>
      <c r="I250">
        <v>105</v>
      </c>
      <c r="J250">
        <v>360</v>
      </c>
      <c r="K250">
        <v>0</v>
      </c>
      <c r="L250" t="s">
        <v>636</v>
      </c>
      <c r="M250" t="s">
        <v>637</v>
      </c>
    </row>
    <row r="251" spans="1:13" x14ac:dyDescent="0.3">
      <c r="A251" t="s">
        <v>994</v>
      </c>
      <c r="B251" t="s">
        <v>657</v>
      </c>
      <c r="C251" t="s">
        <v>635</v>
      </c>
      <c r="D251">
        <v>0</v>
      </c>
      <c r="E251" t="s">
        <v>631</v>
      </c>
      <c r="F251" t="s">
        <v>630</v>
      </c>
      <c r="G251">
        <v>2423</v>
      </c>
      <c r="H251">
        <v>505</v>
      </c>
      <c r="I251">
        <v>130</v>
      </c>
      <c r="J251">
        <v>360</v>
      </c>
      <c r="K251">
        <v>1</v>
      </c>
      <c r="L251" t="s">
        <v>646</v>
      </c>
      <c r="M251" t="s">
        <v>633</v>
      </c>
    </row>
    <row r="252" spans="1:13" x14ac:dyDescent="0.3">
      <c r="A252" t="s">
        <v>996</v>
      </c>
      <c r="B252" t="s">
        <v>629</v>
      </c>
      <c r="C252" t="s">
        <v>635</v>
      </c>
      <c r="D252">
        <v>2</v>
      </c>
      <c r="E252" t="s">
        <v>631</v>
      </c>
      <c r="F252" t="s">
        <v>630</v>
      </c>
      <c r="G252">
        <v>8333</v>
      </c>
      <c r="H252">
        <v>3167</v>
      </c>
      <c r="I252">
        <v>165</v>
      </c>
      <c r="J252">
        <v>360</v>
      </c>
      <c r="K252">
        <v>1</v>
      </c>
      <c r="L252" t="s">
        <v>636</v>
      </c>
      <c r="M252" t="s">
        <v>633</v>
      </c>
    </row>
    <row r="253" spans="1:13" x14ac:dyDescent="0.3">
      <c r="A253" t="s">
        <v>997</v>
      </c>
      <c r="B253" t="s">
        <v>629</v>
      </c>
      <c r="C253" t="s">
        <v>635</v>
      </c>
      <c r="D253">
        <v>1</v>
      </c>
      <c r="E253" t="s">
        <v>631</v>
      </c>
      <c r="F253" t="s">
        <v>630</v>
      </c>
      <c r="G253">
        <v>3875</v>
      </c>
      <c r="H253">
        <v>0</v>
      </c>
      <c r="I253">
        <v>67</v>
      </c>
      <c r="J253">
        <v>360</v>
      </c>
      <c r="K253">
        <v>1</v>
      </c>
      <c r="L253" t="s">
        <v>632</v>
      </c>
      <c r="M253" t="s">
        <v>637</v>
      </c>
    </row>
    <row r="254" spans="1:13" x14ac:dyDescent="0.3">
      <c r="A254" t="s">
        <v>998</v>
      </c>
      <c r="B254" t="s">
        <v>629</v>
      </c>
      <c r="C254" t="s">
        <v>635</v>
      </c>
      <c r="D254">
        <v>0</v>
      </c>
      <c r="E254" t="s">
        <v>640</v>
      </c>
      <c r="F254" t="s">
        <v>630</v>
      </c>
      <c r="G254">
        <v>3000</v>
      </c>
      <c r="H254">
        <v>1666</v>
      </c>
      <c r="I254">
        <v>100</v>
      </c>
      <c r="J254">
        <v>480</v>
      </c>
      <c r="K254">
        <v>0</v>
      </c>
      <c r="L254" t="s">
        <v>632</v>
      </c>
      <c r="M254" t="s">
        <v>637</v>
      </c>
    </row>
    <row r="255" spans="1:13" x14ac:dyDescent="0.3">
      <c r="A255" t="s">
        <v>999</v>
      </c>
      <c r="B255" t="s">
        <v>629</v>
      </c>
      <c r="C255" t="s">
        <v>635</v>
      </c>
      <c r="D255" t="s">
        <v>645</v>
      </c>
      <c r="E255" t="s">
        <v>631</v>
      </c>
      <c r="F255" t="s">
        <v>630</v>
      </c>
      <c r="G255">
        <v>5167</v>
      </c>
      <c r="H255">
        <v>3167</v>
      </c>
      <c r="I255">
        <v>200</v>
      </c>
      <c r="J255">
        <v>360</v>
      </c>
      <c r="K255">
        <v>1</v>
      </c>
      <c r="L255" t="s">
        <v>646</v>
      </c>
      <c r="M255" t="s">
        <v>633</v>
      </c>
    </row>
    <row r="256" spans="1:13" x14ac:dyDescent="0.3">
      <c r="A256" t="s">
        <v>1000</v>
      </c>
      <c r="B256" t="s">
        <v>657</v>
      </c>
      <c r="C256" t="s">
        <v>630</v>
      </c>
      <c r="D256">
        <v>1</v>
      </c>
      <c r="E256" t="s">
        <v>631</v>
      </c>
      <c r="F256" t="s">
        <v>630</v>
      </c>
      <c r="G256">
        <v>4723</v>
      </c>
      <c r="H256">
        <v>0</v>
      </c>
      <c r="I256">
        <v>81</v>
      </c>
      <c r="J256">
        <v>360</v>
      </c>
      <c r="K256">
        <v>1</v>
      </c>
      <c r="L256" t="s">
        <v>646</v>
      </c>
      <c r="M256" t="s">
        <v>637</v>
      </c>
    </row>
    <row r="257" spans="1:13" x14ac:dyDescent="0.3">
      <c r="A257" t="s">
        <v>1001</v>
      </c>
      <c r="B257" t="s">
        <v>629</v>
      </c>
      <c r="C257" t="s">
        <v>635</v>
      </c>
      <c r="D257">
        <v>2</v>
      </c>
      <c r="E257" t="s">
        <v>631</v>
      </c>
      <c r="F257" t="s">
        <v>630</v>
      </c>
      <c r="G257">
        <v>5000</v>
      </c>
      <c r="H257">
        <v>3667</v>
      </c>
      <c r="I257">
        <v>236</v>
      </c>
      <c r="J257">
        <v>360</v>
      </c>
      <c r="K257">
        <v>1</v>
      </c>
      <c r="L257" t="s">
        <v>646</v>
      </c>
      <c r="M257" t="s">
        <v>633</v>
      </c>
    </row>
    <row r="258" spans="1:13" x14ac:dyDescent="0.3">
      <c r="A258" t="s">
        <v>1002</v>
      </c>
      <c r="B258" t="s">
        <v>629</v>
      </c>
      <c r="C258" t="s">
        <v>635</v>
      </c>
      <c r="D258">
        <v>0</v>
      </c>
      <c r="E258" t="s">
        <v>631</v>
      </c>
      <c r="F258" t="s">
        <v>630</v>
      </c>
      <c r="G258">
        <v>4750</v>
      </c>
      <c r="H258">
        <v>2333</v>
      </c>
      <c r="I258">
        <v>130</v>
      </c>
      <c r="J258">
        <v>360</v>
      </c>
      <c r="K258">
        <v>1</v>
      </c>
      <c r="L258" t="s">
        <v>632</v>
      </c>
      <c r="M258" t="s">
        <v>633</v>
      </c>
    </row>
    <row r="259" spans="1:13" x14ac:dyDescent="0.3">
      <c r="A259" t="s">
        <v>1004</v>
      </c>
      <c r="B259" t="s">
        <v>629</v>
      </c>
      <c r="C259" t="s">
        <v>630</v>
      </c>
      <c r="D259">
        <v>0</v>
      </c>
      <c r="E259" t="s">
        <v>631</v>
      </c>
      <c r="F259" t="s">
        <v>635</v>
      </c>
      <c r="G259">
        <v>6822</v>
      </c>
      <c r="H259">
        <v>0</v>
      </c>
      <c r="I259">
        <v>141</v>
      </c>
      <c r="J259">
        <v>360</v>
      </c>
      <c r="K259">
        <v>1</v>
      </c>
      <c r="L259" t="s">
        <v>636</v>
      </c>
      <c r="M259" t="s">
        <v>633</v>
      </c>
    </row>
    <row r="260" spans="1:13" x14ac:dyDescent="0.3">
      <c r="A260" t="s">
        <v>1005</v>
      </c>
      <c r="B260" t="s">
        <v>629</v>
      </c>
      <c r="C260" t="s">
        <v>630</v>
      </c>
      <c r="D260">
        <v>0</v>
      </c>
      <c r="E260" t="s">
        <v>640</v>
      </c>
      <c r="F260" t="s">
        <v>630</v>
      </c>
      <c r="G260">
        <v>6216</v>
      </c>
      <c r="H260">
        <v>0</v>
      </c>
      <c r="I260">
        <v>133</v>
      </c>
      <c r="J260">
        <v>360</v>
      </c>
      <c r="K260">
        <v>1</v>
      </c>
      <c r="L260" t="s">
        <v>636</v>
      </c>
      <c r="M260" t="s">
        <v>637</v>
      </c>
    </row>
    <row r="261" spans="1:13" x14ac:dyDescent="0.3">
      <c r="A261" t="s">
        <v>1006</v>
      </c>
      <c r="B261" t="s">
        <v>629</v>
      </c>
      <c r="C261" t="s">
        <v>630</v>
      </c>
      <c r="D261">
        <v>0</v>
      </c>
      <c r="E261" t="s">
        <v>631</v>
      </c>
      <c r="F261" t="s">
        <v>630</v>
      </c>
      <c r="G261">
        <v>2500</v>
      </c>
      <c r="H261">
        <v>0</v>
      </c>
      <c r="I261">
        <v>96</v>
      </c>
      <c r="J261">
        <v>480</v>
      </c>
      <c r="K261">
        <v>1</v>
      </c>
      <c r="L261" t="s">
        <v>646</v>
      </c>
      <c r="M261" t="s">
        <v>637</v>
      </c>
    </row>
    <row r="262" spans="1:13" x14ac:dyDescent="0.3">
      <c r="A262" t="s">
        <v>1008</v>
      </c>
      <c r="B262" t="s">
        <v>629</v>
      </c>
      <c r="C262" t="s">
        <v>635</v>
      </c>
      <c r="D262">
        <v>1</v>
      </c>
      <c r="E262" t="s">
        <v>631</v>
      </c>
      <c r="F262" t="s">
        <v>630</v>
      </c>
      <c r="G262">
        <v>6325</v>
      </c>
      <c r="H262">
        <v>0</v>
      </c>
      <c r="I262">
        <v>175</v>
      </c>
      <c r="J262">
        <v>360</v>
      </c>
      <c r="K262">
        <v>1</v>
      </c>
      <c r="L262" t="s">
        <v>646</v>
      </c>
      <c r="M262" t="s">
        <v>633</v>
      </c>
    </row>
    <row r="263" spans="1:13" x14ac:dyDescent="0.3">
      <c r="A263" t="s">
        <v>1010</v>
      </c>
      <c r="B263" t="s">
        <v>657</v>
      </c>
      <c r="C263" t="s">
        <v>630</v>
      </c>
      <c r="D263">
        <v>0</v>
      </c>
      <c r="E263" t="s">
        <v>631</v>
      </c>
      <c r="F263" t="s">
        <v>635</v>
      </c>
      <c r="G263">
        <v>15759</v>
      </c>
      <c r="H263">
        <v>0</v>
      </c>
      <c r="I263">
        <v>55</v>
      </c>
      <c r="J263">
        <v>360</v>
      </c>
      <c r="K263">
        <v>1</v>
      </c>
      <c r="L263" t="s">
        <v>646</v>
      </c>
      <c r="M263" t="s">
        <v>633</v>
      </c>
    </row>
    <row r="264" spans="1:13" x14ac:dyDescent="0.3">
      <c r="A264" t="s">
        <v>1011</v>
      </c>
      <c r="B264" t="s">
        <v>629</v>
      </c>
      <c r="C264" t="s">
        <v>635</v>
      </c>
      <c r="D264">
        <v>2</v>
      </c>
      <c r="E264" t="s">
        <v>631</v>
      </c>
      <c r="F264" t="s">
        <v>630</v>
      </c>
      <c r="G264">
        <v>5185</v>
      </c>
      <c r="H264">
        <v>0</v>
      </c>
      <c r="I264">
        <v>155</v>
      </c>
      <c r="J264">
        <v>360</v>
      </c>
      <c r="K264">
        <v>1</v>
      </c>
      <c r="L264" t="s">
        <v>646</v>
      </c>
      <c r="M264" t="s">
        <v>633</v>
      </c>
    </row>
    <row r="265" spans="1:13" x14ac:dyDescent="0.3">
      <c r="A265" t="s">
        <v>1013</v>
      </c>
      <c r="B265" t="s">
        <v>629</v>
      </c>
      <c r="C265" t="s">
        <v>630</v>
      </c>
      <c r="D265">
        <v>1</v>
      </c>
      <c r="E265" t="s">
        <v>631</v>
      </c>
      <c r="F265" t="s">
        <v>630</v>
      </c>
      <c r="G265">
        <v>3062</v>
      </c>
      <c r="H265">
        <v>1987</v>
      </c>
      <c r="I265">
        <v>111</v>
      </c>
      <c r="J265">
        <v>180</v>
      </c>
      <c r="K265">
        <v>0</v>
      </c>
      <c r="L265" t="s">
        <v>632</v>
      </c>
      <c r="M265" t="s">
        <v>637</v>
      </c>
    </row>
    <row r="266" spans="1:13" x14ac:dyDescent="0.3">
      <c r="A266" t="s">
        <v>1015</v>
      </c>
      <c r="B266" t="s">
        <v>629</v>
      </c>
      <c r="C266" t="s">
        <v>635</v>
      </c>
      <c r="D266">
        <v>0</v>
      </c>
      <c r="E266" t="s">
        <v>631</v>
      </c>
      <c r="F266" t="s">
        <v>630</v>
      </c>
      <c r="G266">
        <v>4817</v>
      </c>
      <c r="H266">
        <v>923</v>
      </c>
      <c r="I266">
        <v>120</v>
      </c>
      <c r="J266">
        <v>180</v>
      </c>
      <c r="K266">
        <v>1</v>
      </c>
      <c r="L266" t="s">
        <v>632</v>
      </c>
      <c r="M266" t="s">
        <v>633</v>
      </c>
    </row>
    <row r="267" spans="1:13" x14ac:dyDescent="0.3">
      <c r="A267" t="s">
        <v>1016</v>
      </c>
      <c r="B267" t="s">
        <v>629</v>
      </c>
      <c r="C267" t="s">
        <v>635</v>
      </c>
      <c r="D267" t="s">
        <v>645</v>
      </c>
      <c r="E267" t="s">
        <v>631</v>
      </c>
      <c r="F267" t="s">
        <v>630</v>
      </c>
      <c r="G267">
        <v>8750</v>
      </c>
      <c r="H267">
        <v>4996</v>
      </c>
      <c r="I267">
        <v>130</v>
      </c>
      <c r="J267">
        <v>360</v>
      </c>
      <c r="K267">
        <v>1</v>
      </c>
      <c r="L267" t="s">
        <v>636</v>
      </c>
      <c r="M267" t="s">
        <v>633</v>
      </c>
    </row>
    <row r="268" spans="1:13" x14ac:dyDescent="0.3">
      <c r="A268" t="s">
        <v>1018</v>
      </c>
      <c r="B268" t="s">
        <v>629</v>
      </c>
      <c r="C268" t="s">
        <v>630</v>
      </c>
      <c r="D268">
        <v>0</v>
      </c>
      <c r="E268" t="s">
        <v>631</v>
      </c>
      <c r="F268" t="s">
        <v>630</v>
      </c>
      <c r="G268">
        <v>3069</v>
      </c>
      <c r="H268">
        <v>0</v>
      </c>
      <c r="I268">
        <v>71</v>
      </c>
      <c r="J268">
        <v>480</v>
      </c>
      <c r="K268">
        <v>1</v>
      </c>
      <c r="L268" t="s">
        <v>632</v>
      </c>
      <c r="M268" t="s">
        <v>637</v>
      </c>
    </row>
    <row r="269" spans="1:13" x14ac:dyDescent="0.3">
      <c r="A269" t="s">
        <v>1019</v>
      </c>
      <c r="B269" t="s">
        <v>629</v>
      </c>
      <c r="C269" t="s">
        <v>635</v>
      </c>
      <c r="D269">
        <v>2</v>
      </c>
      <c r="E269" t="s">
        <v>631</v>
      </c>
      <c r="F269" t="s">
        <v>630</v>
      </c>
      <c r="G269">
        <v>5391</v>
      </c>
      <c r="H269">
        <v>0</v>
      </c>
      <c r="I269">
        <v>130</v>
      </c>
      <c r="J269">
        <v>360</v>
      </c>
      <c r="K269">
        <v>1</v>
      </c>
      <c r="L269" t="s">
        <v>632</v>
      </c>
      <c r="M269" t="s">
        <v>633</v>
      </c>
    </row>
    <row r="270" spans="1:13" x14ac:dyDescent="0.3">
      <c r="A270" t="s">
        <v>1022</v>
      </c>
      <c r="B270" t="s">
        <v>657</v>
      </c>
      <c r="C270" t="s">
        <v>630</v>
      </c>
      <c r="D270">
        <v>0</v>
      </c>
      <c r="E270" t="s">
        <v>631</v>
      </c>
      <c r="F270" t="s">
        <v>630</v>
      </c>
      <c r="G270">
        <v>6000</v>
      </c>
      <c r="H270">
        <v>0</v>
      </c>
      <c r="I270">
        <v>156</v>
      </c>
      <c r="J270">
        <v>360</v>
      </c>
      <c r="K270">
        <v>1</v>
      </c>
      <c r="L270" t="s">
        <v>632</v>
      </c>
      <c r="M270" t="s">
        <v>633</v>
      </c>
    </row>
    <row r="271" spans="1:13" x14ac:dyDescent="0.3">
      <c r="A271" t="s">
        <v>1023</v>
      </c>
      <c r="B271" t="s">
        <v>629</v>
      </c>
      <c r="C271" t="s">
        <v>630</v>
      </c>
      <c r="D271">
        <v>0</v>
      </c>
      <c r="E271" t="s">
        <v>631</v>
      </c>
      <c r="F271" t="s">
        <v>635</v>
      </c>
      <c r="G271">
        <v>7167</v>
      </c>
      <c r="H271">
        <v>0</v>
      </c>
      <c r="I271">
        <v>128</v>
      </c>
      <c r="J271">
        <v>360</v>
      </c>
      <c r="K271">
        <v>1</v>
      </c>
      <c r="L271" t="s">
        <v>632</v>
      </c>
      <c r="M271" t="s">
        <v>633</v>
      </c>
    </row>
    <row r="272" spans="1:13" x14ac:dyDescent="0.3">
      <c r="A272" t="s">
        <v>1024</v>
      </c>
      <c r="B272" t="s">
        <v>629</v>
      </c>
      <c r="C272" t="s">
        <v>635</v>
      </c>
      <c r="D272">
        <v>2</v>
      </c>
      <c r="E272" t="s">
        <v>631</v>
      </c>
      <c r="F272" t="s">
        <v>630</v>
      </c>
      <c r="G272">
        <v>4566</v>
      </c>
      <c r="H272">
        <v>0</v>
      </c>
      <c r="I272">
        <v>100</v>
      </c>
      <c r="J272">
        <v>360</v>
      </c>
      <c r="K272">
        <v>1</v>
      </c>
      <c r="L272" t="s">
        <v>632</v>
      </c>
      <c r="M272" t="s">
        <v>637</v>
      </c>
    </row>
    <row r="273" spans="1:13" x14ac:dyDescent="0.3">
      <c r="A273" t="s">
        <v>1026</v>
      </c>
      <c r="B273" t="s">
        <v>629</v>
      </c>
      <c r="C273" t="s">
        <v>630</v>
      </c>
      <c r="D273">
        <v>0</v>
      </c>
      <c r="E273" t="s">
        <v>640</v>
      </c>
      <c r="F273" t="s">
        <v>630</v>
      </c>
      <c r="G273">
        <v>2346</v>
      </c>
      <c r="H273">
        <v>1600</v>
      </c>
      <c r="I273">
        <v>132</v>
      </c>
      <c r="J273">
        <v>360</v>
      </c>
      <c r="K273">
        <v>1</v>
      </c>
      <c r="L273" t="s">
        <v>646</v>
      </c>
      <c r="M273" t="s">
        <v>633</v>
      </c>
    </row>
    <row r="274" spans="1:13" x14ac:dyDescent="0.3">
      <c r="A274" t="s">
        <v>1028</v>
      </c>
      <c r="B274" t="s">
        <v>629</v>
      </c>
      <c r="C274" t="s">
        <v>635</v>
      </c>
      <c r="D274">
        <v>0</v>
      </c>
      <c r="E274" t="s">
        <v>631</v>
      </c>
      <c r="F274" t="s">
        <v>630</v>
      </c>
      <c r="G274">
        <v>2333</v>
      </c>
      <c r="H274">
        <v>2417</v>
      </c>
      <c r="I274">
        <v>136</v>
      </c>
      <c r="J274">
        <v>360</v>
      </c>
      <c r="K274">
        <v>1</v>
      </c>
      <c r="L274" t="s">
        <v>632</v>
      </c>
      <c r="M274" t="s">
        <v>633</v>
      </c>
    </row>
    <row r="275" spans="1:13" x14ac:dyDescent="0.3">
      <c r="A275" t="s">
        <v>1029</v>
      </c>
      <c r="B275" t="s">
        <v>629</v>
      </c>
      <c r="C275" t="s">
        <v>635</v>
      </c>
      <c r="D275">
        <v>0</v>
      </c>
      <c r="E275" t="s">
        <v>631</v>
      </c>
      <c r="F275" t="s">
        <v>630</v>
      </c>
      <c r="G275">
        <v>5488</v>
      </c>
      <c r="H275">
        <v>0</v>
      </c>
      <c r="I275">
        <v>125</v>
      </c>
      <c r="J275">
        <v>360</v>
      </c>
      <c r="K275">
        <v>1</v>
      </c>
      <c r="L275" t="s">
        <v>636</v>
      </c>
      <c r="M275" t="s">
        <v>633</v>
      </c>
    </row>
    <row r="276" spans="1:13" x14ac:dyDescent="0.3">
      <c r="A276" t="s">
        <v>1030</v>
      </c>
      <c r="B276" t="s">
        <v>629</v>
      </c>
      <c r="C276" t="s">
        <v>630</v>
      </c>
      <c r="D276" t="s">
        <v>645</v>
      </c>
      <c r="E276" t="s">
        <v>631</v>
      </c>
      <c r="F276" t="s">
        <v>630</v>
      </c>
      <c r="G276">
        <v>9167</v>
      </c>
      <c r="H276">
        <v>0</v>
      </c>
      <c r="I276">
        <v>185</v>
      </c>
      <c r="J276">
        <v>360</v>
      </c>
      <c r="K276">
        <v>1</v>
      </c>
      <c r="L276" t="s">
        <v>636</v>
      </c>
      <c r="M276" t="s">
        <v>633</v>
      </c>
    </row>
    <row r="277" spans="1:13" x14ac:dyDescent="0.3">
      <c r="A277" t="s">
        <v>1031</v>
      </c>
      <c r="B277" t="s">
        <v>629</v>
      </c>
      <c r="C277" t="s">
        <v>635</v>
      </c>
      <c r="D277" t="s">
        <v>645</v>
      </c>
      <c r="E277" t="s">
        <v>631</v>
      </c>
      <c r="F277" t="s">
        <v>630</v>
      </c>
      <c r="G277">
        <v>9504</v>
      </c>
      <c r="H277">
        <v>0</v>
      </c>
      <c r="I277">
        <v>275</v>
      </c>
      <c r="J277">
        <v>360</v>
      </c>
      <c r="K277">
        <v>1</v>
      </c>
      <c r="L277" t="s">
        <v>636</v>
      </c>
      <c r="M277" t="s">
        <v>633</v>
      </c>
    </row>
    <row r="278" spans="1:13" x14ac:dyDescent="0.3">
      <c r="A278" t="s">
        <v>1033</v>
      </c>
      <c r="B278" t="s">
        <v>629</v>
      </c>
      <c r="C278" t="s">
        <v>635</v>
      </c>
      <c r="D278">
        <v>2</v>
      </c>
      <c r="E278" t="s">
        <v>640</v>
      </c>
      <c r="F278" t="s">
        <v>630</v>
      </c>
      <c r="G278">
        <v>1993</v>
      </c>
      <c r="H278">
        <v>1625</v>
      </c>
      <c r="I278">
        <v>113</v>
      </c>
      <c r="J278">
        <v>180</v>
      </c>
      <c r="K278">
        <v>1</v>
      </c>
      <c r="L278" t="s">
        <v>646</v>
      </c>
      <c r="M278" t="s">
        <v>633</v>
      </c>
    </row>
    <row r="279" spans="1:13" x14ac:dyDescent="0.3">
      <c r="A279" t="s">
        <v>1034</v>
      </c>
      <c r="B279" t="s">
        <v>629</v>
      </c>
      <c r="C279" t="s">
        <v>635</v>
      </c>
      <c r="D279">
        <v>2</v>
      </c>
      <c r="E279" t="s">
        <v>631</v>
      </c>
      <c r="F279" t="s">
        <v>630</v>
      </c>
      <c r="G279">
        <v>3100</v>
      </c>
      <c r="H279">
        <v>1400</v>
      </c>
      <c r="I279">
        <v>113</v>
      </c>
      <c r="J279">
        <v>360</v>
      </c>
      <c r="K279">
        <v>1</v>
      </c>
      <c r="L279" t="s">
        <v>632</v>
      </c>
      <c r="M279" t="s">
        <v>633</v>
      </c>
    </row>
    <row r="280" spans="1:13" x14ac:dyDescent="0.3">
      <c r="A280" t="s">
        <v>1036</v>
      </c>
      <c r="B280" t="s">
        <v>657</v>
      </c>
      <c r="C280" t="s">
        <v>630</v>
      </c>
      <c r="D280">
        <v>0</v>
      </c>
      <c r="E280" t="s">
        <v>631</v>
      </c>
      <c r="F280" t="s">
        <v>630</v>
      </c>
      <c r="G280">
        <v>3180</v>
      </c>
      <c r="H280">
        <v>0</v>
      </c>
      <c r="I280">
        <v>71</v>
      </c>
      <c r="J280">
        <v>360</v>
      </c>
      <c r="K280">
        <v>0</v>
      </c>
      <c r="L280" t="s">
        <v>632</v>
      </c>
      <c r="M280" t="s">
        <v>637</v>
      </c>
    </row>
    <row r="281" spans="1:13" x14ac:dyDescent="0.3">
      <c r="A281" t="s">
        <v>1037</v>
      </c>
      <c r="B281" t="s">
        <v>629</v>
      </c>
      <c r="C281" t="s">
        <v>635</v>
      </c>
      <c r="D281">
        <v>0</v>
      </c>
      <c r="E281" t="s">
        <v>631</v>
      </c>
      <c r="F281" t="s">
        <v>630</v>
      </c>
      <c r="G281">
        <v>3033</v>
      </c>
      <c r="H281">
        <v>1459</v>
      </c>
      <c r="I281">
        <v>95</v>
      </c>
      <c r="J281">
        <v>360</v>
      </c>
      <c r="K281">
        <v>1</v>
      </c>
      <c r="L281" t="s">
        <v>632</v>
      </c>
      <c r="M281" t="s">
        <v>633</v>
      </c>
    </row>
    <row r="282" spans="1:13" x14ac:dyDescent="0.3">
      <c r="A282" t="s">
        <v>1038</v>
      </c>
      <c r="B282" t="s">
        <v>629</v>
      </c>
      <c r="C282" t="s">
        <v>630</v>
      </c>
      <c r="D282">
        <v>0</v>
      </c>
      <c r="E282" t="s">
        <v>640</v>
      </c>
      <c r="F282" t="s">
        <v>630</v>
      </c>
      <c r="G282">
        <v>3902</v>
      </c>
      <c r="H282">
        <v>1666</v>
      </c>
      <c r="I282">
        <v>109</v>
      </c>
      <c r="J282">
        <v>360</v>
      </c>
      <c r="K282">
        <v>1</v>
      </c>
      <c r="L282" t="s">
        <v>636</v>
      </c>
      <c r="M282" t="s">
        <v>633</v>
      </c>
    </row>
    <row r="283" spans="1:13" x14ac:dyDescent="0.3">
      <c r="A283" t="s">
        <v>1039</v>
      </c>
      <c r="B283" t="s">
        <v>657</v>
      </c>
      <c r="C283" t="s">
        <v>630</v>
      </c>
      <c r="D283">
        <v>0</v>
      </c>
      <c r="E283" t="s">
        <v>631</v>
      </c>
      <c r="F283" t="s">
        <v>630</v>
      </c>
      <c r="G283">
        <v>1500</v>
      </c>
      <c r="H283">
        <v>1800</v>
      </c>
      <c r="I283">
        <v>103</v>
      </c>
      <c r="J283">
        <v>360</v>
      </c>
      <c r="K283">
        <v>0</v>
      </c>
      <c r="L283" t="s">
        <v>646</v>
      </c>
      <c r="M283" t="s">
        <v>637</v>
      </c>
    </row>
    <row r="284" spans="1:13" x14ac:dyDescent="0.3">
      <c r="A284" t="s">
        <v>1040</v>
      </c>
      <c r="B284" t="s">
        <v>629</v>
      </c>
      <c r="C284" t="s">
        <v>635</v>
      </c>
      <c r="D284">
        <v>2</v>
      </c>
      <c r="E284" t="s">
        <v>640</v>
      </c>
      <c r="F284" t="s">
        <v>630</v>
      </c>
      <c r="G284">
        <v>2889</v>
      </c>
      <c r="H284">
        <v>0</v>
      </c>
      <c r="I284">
        <v>45</v>
      </c>
      <c r="J284">
        <v>180</v>
      </c>
      <c r="K284">
        <v>0</v>
      </c>
      <c r="L284" t="s">
        <v>632</v>
      </c>
      <c r="M284" t="s">
        <v>637</v>
      </c>
    </row>
    <row r="285" spans="1:13" x14ac:dyDescent="0.3">
      <c r="A285" t="s">
        <v>1041</v>
      </c>
      <c r="B285" t="s">
        <v>629</v>
      </c>
      <c r="C285" t="s">
        <v>630</v>
      </c>
      <c r="D285">
        <v>0</v>
      </c>
      <c r="E285" t="s">
        <v>640</v>
      </c>
      <c r="F285" t="s">
        <v>630</v>
      </c>
      <c r="G285">
        <v>2755</v>
      </c>
      <c r="H285">
        <v>0</v>
      </c>
      <c r="I285">
        <v>65</v>
      </c>
      <c r="J285">
        <v>300</v>
      </c>
      <c r="K285">
        <v>1</v>
      </c>
      <c r="L285" t="s">
        <v>636</v>
      </c>
      <c r="M285" t="s">
        <v>637</v>
      </c>
    </row>
    <row r="286" spans="1:13" x14ac:dyDescent="0.3">
      <c r="A286" t="s">
        <v>1042</v>
      </c>
      <c r="B286" t="s">
        <v>629</v>
      </c>
      <c r="C286" t="s">
        <v>630</v>
      </c>
      <c r="D286">
        <v>0</v>
      </c>
      <c r="E286" t="s">
        <v>631</v>
      </c>
      <c r="F286" t="s">
        <v>630</v>
      </c>
      <c r="G286">
        <v>2500</v>
      </c>
      <c r="H286">
        <v>20000</v>
      </c>
      <c r="I286">
        <v>103</v>
      </c>
      <c r="J286">
        <v>360</v>
      </c>
      <c r="K286">
        <v>1</v>
      </c>
      <c r="L286" t="s">
        <v>646</v>
      </c>
      <c r="M286" t="s">
        <v>633</v>
      </c>
    </row>
    <row r="287" spans="1:13" x14ac:dyDescent="0.3">
      <c r="A287" t="s">
        <v>1043</v>
      </c>
      <c r="B287" t="s">
        <v>657</v>
      </c>
      <c r="C287" t="s">
        <v>630</v>
      </c>
      <c r="D287">
        <v>0</v>
      </c>
      <c r="E287" t="s">
        <v>640</v>
      </c>
      <c r="F287" t="s">
        <v>630</v>
      </c>
      <c r="G287">
        <v>1963</v>
      </c>
      <c r="H287">
        <v>0</v>
      </c>
      <c r="I287">
        <v>53</v>
      </c>
      <c r="J287">
        <v>360</v>
      </c>
      <c r="K287">
        <v>1</v>
      </c>
      <c r="L287" t="s">
        <v>646</v>
      </c>
      <c r="M287" t="s">
        <v>633</v>
      </c>
    </row>
    <row r="288" spans="1:13" x14ac:dyDescent="0.3">
      <c r="A288" t="s">
        <v>1044</v>
      </c>
      <c r="B288" t="s">
        <v>657</v>
      </c>
      <c r="C288" t="s">
        <v>630</v>
      </c>
      <c r="D288">
        <v>0</v>
      </c>
      <c r="E288" t="s">
        <v>631</v>
      </c>
      <c r="F288" t="s">
        <v>635</v>
      </c>
      <c r="G288">
        <v>7441</v>
      </c>
      <c r="H288">
        <v>0</v>
      </c>
      <c r="I288">
        <v>194</v>
      </c>
      <c r="J288">
        <v>360</v>
      </c>
      <c r="K288">
        <v>1</v>
      </c>
      <c r="L288" t="s">
        <v>636</v>
      </c>
      <c r="M288" t="s">
        <v>637</v>
      </c>
    </row>
    <row r="289" spans="1:13" x14ac:dyDescent="0.3">
      <c r="A289" t="s">
        <v>1045</v>
      </c>
      <c r="B289" t="s">
        <v>657</v>
      </c>
      <c r="C289" t="s">
        <v>630</v>
      </c>
      <c r="D289">
        <v>0</v>
      </c>
      <c r="E289" t="s">
        <v>631</v>
      </c>
      <c r="F289" t="s">
        <v>630</v>
      </c>
      <c r="G289">
        <v>4547</v>
      </c>
      <c r="H289">
        <v>0</v>
      </c>
      <c r="I289">
        <v>115</v>
      </c>
      <c r="J289">
        <v>360</v>
      </c>
      <c r="K289">
        <v>1</v>
      </c>
      <c r="L289" t="s">
        <v>646</v>
      </c>
      <c r="M289" t="s">
        <v>633</v>
      </c>
    </row>
    <row r="290" spans="1:13" x14ac:dyDescent="0.3">
      <c r="A290" t="s">
        <v>1046</v>
      </c>
      <c r="B290" t="s">
        <v>629</v>
      </c>
      <c r="C290" t="s">
        <v>635</v>
      </c>
      <c r="D290">
        <v>0</v>
      </c>
      <c r="E290" t="s">
        <v>640</v>
      </c>
      <c r="F290" t="s">
        <v>630</v>
      </c>
      <c r="G290">
        <v>2167</v>
      </c>
      <c r="H290">
        <v>2400</v>
      </c>
      <c r="I290">
        <v>115</v>
      </c>
      <c r="J290">
        <v>360</v>
      </c>
      <c r="K290">
        <v>1</v>
      </c>
      <c r="L290" t="s">
        <v>632</v>
      </c>
      <c r="M290" t="s">
        <v>633</v>
      </c>
    </row>
    <row r="291" spans="1:13" x14ac:dyDescent="0.3">
      <c r="A291" t="s">
        <v>1047</v>
      </c>
      <c r="B291" t="s">
        <v>657</v>
      </c>
      <c r="C291" t="s">
        <v>630</v>
      </c>
      <c r="D291">
        <v>0</v>
      </c>
      <c r="E291" t="s">
        <v>640</v>
      </c>
      <c r="F291" t="s">
        <v>630</v>
      </c>
      <c r="G291">
        <v>2213</v>
      </c>
      <c r="H291">
        <v>0</v>
      </c>
      <c r="I291">
        <v>66</v>
      </c>
      <c r="J291">
        <v>360</v>
      </c>
      <c r="K291">
        <v>1</v>
      </c>
      <c r="L291" t="s">
        <v>636</v>
      </c>
      <c r="M291" t="s">
        <v>633</v>
      </c>
    </row>
    <row r="292" spans="1:13" x14ac:dyDescent="0.3">
      <c r="A292" t="s">
        <v>1048</v>
      </c>
      <c r="B292" t="s">
        <v>629</v>
      </c>
      <c r="C292" t="s">
        <v>635</v>
      </c>
      <c r="D292">
        <v>1</v>
      </c>
      <c r="E292" t="s">
        <v>631</v>
      </c>
      <c r="F292" t="s">
        <v>630</v>
      </c>
      <c r="G292">
        <v>8300</v>
      </c>
      <c r="H292">
        <v>0</v>
      </c>
      <c r="I292">
        <v>152</v>
      </c>
      <c r="J292">
        <v>300</v>
      </c>
      <c r="K292">
        <v>0</v>
      </c>
      <c r="L292" t="s">
        <v>646</v>
      </c>
      <c r="M292" t="s">
        <v>637</v>
      </c>
    </row>
    <row r="293" spans="1:13" x14ac:dyDescent="0.3">
      <c r="A293" t="s">
        <v>1050</v>
      </c>
      <c r="B293" t="s">
        <v>657</v>
      </c>
      <c r="C293" t="s">
        <v>630</v>
      </c>
      <c r="D293">
        <v>1</v>
      </c>
      <c r="E293" t="s">
        <v>640</v>
      </c>
      <c r="F293" t="s">
        <v>635</v>
      </c>
      <c r="G293">
        <v>3867</v>
      </c>
      <c r="H293">
        <v>0</v>
      </c>
      <c r="I293">
        <v>62</v>
      </c>
      <c r="J293">
        <v>360</v>
      </c>
      <c r="K293">
        <v>1</v>
      </c>
      <c r="L293" t="s">
        <v>646</v>
      </c>
      <c r="M293" t="s">
        <v>637</v>
      </c>
    </row>
    <row r="294" spans="1:13" x14ac:dyDescent="0.3">
      <c r="A294" t="s">
        <v>1052</v>
      </c>
      <c r="B294" t="s">
        <v>629</v>
      </c>
      <c r="C294" t="s">
        <v>635</v>
      </c>
      <c r="D294">
        <v>0</v>
      </c>
      <c r="E294" t="s">
        <v>640</v>
      </c>
      <c r="F294" t="s">
        <v>630</v>
      </c>
      <c r="G294">
        <v>6096</v>
      </c>
      <c r="H294">
        <v>0</v>
      </c>
      <c r="I294">
        <v>218</v>
      </c>
      <c r="J294">
        <v>360</v>
      </c>
      <c r="K294">
        <v>0</v>
      </c>
      <c r="L294" t="s">
        <v>636</v>
      </c>
      <c r="M294" t="s">
        <v>637</v>
      </c>
    </row>
    <row r="295" spans="1:13" x14ac:dyDescent="0.3">
      <c r="A295" t="s">
        <v>1053</v>
      </c>
      <c r="B295" t="s">
        <v>629</v>
      </c>
      <c r="C295" t="s">
        <v>635</v>
      </c>
      <c r="D295">
        <v>0</v>
      </c>
      <c r="E295" t="s">
        <v>640</v>
      </c>
      <c r="F295" t="s">
        <v>630</v>
      </c>
      <c r="G295">
        <v>2253</v>
      </c>
      <c r="H295">
        <v>2033</v>
      </c>
      <c r="I295">
        <v>110</v>
      </c>
      <c r="J295">
        <v>360</v>
      </c>
      <c r="K295">
        <v>1</v>
      </c>
      <c r="L295" t="s">
        <v>636</v>
      </c>
      <c r="M295" t="s">
        <v>633</v>
      </c>
    </row>
    <row r="296" spans="1:13" x14ac:dyDescent="0.3">
      <c r="A296" t="s">
        <v>1054</v>
      </c>
      <c r="B296" t="s">
        <v>657</v>
      </c>
      <c r="C296" t="s">
        <v>635</v>
      </c>
      <c r="D296">
        <v>0</v>
      </c>
      <c r="E296" t="s">
        <v>640</v>
      </c>
      <c r="F296" t="s">
        <v>630</v>
      </c>
      <c r="G296">
        <v>2149</v>
      </c>
      <c r="H296">
        <v>3237</v>
      </c>
      <c r="I296">
        <v>178</v>
      </c>
      <c r="J296">
        <v>360</v>
      </c>
      <c r="K296">
        <v>0</v>
      </c>
      <c r="L296" t="s">
        <v>646</v>
      </c>
      <c r="M296" t="s">
        <v>637</v>
      </c>
    </row>
    <row r="297" spans="1:13" x14ac:dyDescent="0.3">
      <c r="A297" t="s">
        <v>1055</v>
      </c>
      <c r="B297" t="s">
        <v>657</v>
      </c>
      <c r="C297" t="s">
        <v>630</v>
      </c>
      <c r="D297">
        <v>0</v>
      </c>
      <c r="E297" t="s">
        <v>631</v>
      </c>
      <c r="F297" t="s">
        <v>630</v>
      </c>
      <c r="G297">
        <v>2995</v>
      </c>
      <c r="H297">
        <v>0</v>
      </c>
      <c r="I297">
        <v>60</v>
      </c>
      <c r="J297">
        <v>360</v>
      </c>
      <c r="K297">
        <v>1</v>
      </c>
      <c r="L297" t="s">
        <v>632</v>
      </c>
      <c r="M297" t="s">
        <v>633</v>
      </c>
    </row>
    <row r="298" spans="1:13" x14ac:dyDescent="0.3">
      <c r="A298" t="s">
        <v>1056</v>
      </c>
      <c r="B298" t="s">
        <v>657</v>
      </c>
      <c r="C298" t="s">
        <v>630</v>
      </c>
      <c r="D298">
        <v>1</v>
      </c>
      <c r="E298" t="s">
        <v>631</v>
      </c>
      <c r="F298" t="s">
        <v>630</v>
      </c>
      <c r="G298">
        <v>2600</v>
      </c>
      <c r="H298">
        <v>0</v>
      </c>
      <c r="I298">
        <v>160</v>
      </c>
      <c r="J298">
        <v>360</v>
      </c>
      <c r="K298">
        <v>1</v>
      </c>
      <c r="L298" t="s">
        <v>632</v>
      </c>
      <c r="M298" t="s">
        <v>637</v>
      </c>
    </row>
    <row r="299" spans="1:13" x14ac:dyDescent="0.3">
      <c r="A299" t="s">
        <v>1057</v>
      </c>
      <c r="B299" t="s">
        <v>629</v>
      </c>
      <c r="C299" t="s">
        <v>635</v>
      </c>
      <c r="D299">
        <v>2</v>
      </c>
      <c r="E299" t="s">
        <v>631</v>
      </c>
      <c r="F299" t="s">
        <v>635</v>
      </c>
      <c r="G299">
        <v>1600</v>
      </c>
      <c r="H299">
        <v>20000</v>
      </c>
      <c r="I299">
        <v>239</v>
      </c>
      <c r="J299">
        <v>360</v>
      </c>
      <c r="K299">
        <v>1</v>
      </c>
      <c r="L299" t="s">
        <v>632</v>
      </c>
      <c r="M299" t="s">
        <v>637</v>
      </c>
    </row>
    <row r="300" spans="1:13" x14ac:dyDescent="0.3">
      <c r="A300" t="s">
        <v>1058</v>
      </c>
      <c r="B300" t="s">
        <v>629</v>
      </c>
      <c r="C300" t="s">
        <v>635</v>
      </c>
      <c r="D300">
        <v>0</v>
      </c>
      <c r="E300" t="s">
        <v>631</v>
      </c>
      <c r="F300" t="s">
        <v>630</v>
      </c>
      <c r="G300">
        <v>1025</v>
      </c>
      <c r="H300">
        <v>2773</v>
      </c>
      <c r="I300">
        <v>112</v>
      </c>
      <c r="J300">
        <v>360</v>
      </c>
      <c r="K300">
        <v>1</v>
      </c>
      <c r="L300" t="s">
        <v>636</v>
      </c>
      <c r="M300" t="s">
        <v>633</v>
      </c>
    </row>
    <row r="301" spans="1:13" x14ac:dyDescent="0.3">
      <c r="A301" t="s">
        <v>1059</v>
      </c>
      <c r="B301" t="s">
        <v>629</v>
      </c>
      <c r="C301" t="s">
        <v>635</v>
      </c>
      <c r="D301">
        <v>0</v>
      </c>
      <c r="E301" t="s">
        <v>631</v>
      </c>
      <c r="F301" t="s">
        <v>630</v>
      </c>
      <c r="G301">
        <v>3246</v>
      </c>
      <c r="H301">
        <v>1417</v>
      </c>
      <c r="I301">
        <v>138</v>
      </c>
      <c r="J301">
        <v>360</v>
      </c>
      <c r="K301">
        <v>1</v>
      </c>
      <c r="L301" t="s">
        <v>646</v>
      </c>
      <c r="M301" t="s">
        <v>633</v>
      </c>
    </row>
    <row r="302" spans="1:13" x14ac:dyDescent="0.3">
      <c r="A302" t="s">
        <v>1060</v>
      </c>
      <c r="B302" t="s">
        <v>629</v>
      </c>
      <c r="C302" t="s">
        <v>635</v>
      </c>
      <c r="D302">
        <v>0</v>
      </c>
      <c r="E302" t="s">
        <v>631</v>
      </c>
      <c r="F302" t="s">
        <v>630</v>
      </c>
      <c r="G302">
        <v>5829</v>
      </c>
      <c r="H302">
        <v>0</v>
      </c>
      <c r="I302">
        <v>138</v>
      </c>
      <c r="J302">
        <v>360</v>
      </c>
      <c r="K302">
        <v>1</v>
      </c>
      <c r="L302" t="s">
        <v>636</v>
      </c>
      <c r="M302" t="s">
        <v>633</v>
      </c>
    </row>
    <row r="303" spans="1:13" x14ac:dyDescent="0.3">
      <c r="A303" t="s">
        <v>1062</v>
      </c>
      <c r="B303" t="s">
        <v>629</v>
      </c>
      <c r="C303" t="s">
        <v>635</v>
      </c>
      <c r="D303">
        <v>0</v>
      </c>
      <c r="E303" t="s">
        <v>631</v>
      </c>
      <c r="F303" t="s">
        <v>630</v>
      </c>
      <c r="G303">
        <v>1820</v>
      </c>
      <c r="H303">
        <v>1719</v>
      </c>
      <c r="I303">
        <v>100</v>
      </c>
      <c r="J303">
        <v>360</v>
      </c>
      <c r="K303">
        <v>1</v>
      </c>
      <c r="L303" t="s">
        <v>632</v>
      </c>
      <c r="M303" t="s">
        <v>633</v>
      </c>
    </row>
    <row r="304" spans="1:13" x14ac:dyDescent="0.3">
      <c r="A304" t="s">
        <v>1064</v>
      </c>
      <c r="B304" t="s">
        <v>629</v>
      </c>
      <c r="C304" t="s">
        <v>635</v>
      </c>
      <c r="D304">
        <v>0</v>
      </c>
      <c r="E304" t="s">
        <v>631</v>
      </c>
      <c r="F304" t="s">
        <v>630</v>
      </c>
      <c r="G304">
        <v>14880</v>
      </c>
      <c r="H304">
        <v>0</v>
      </c>
      <c r="I304">
        <v>96</v>
      </c>
      <c r="J304">
        <v>360</v>
      </c>
      <c r="K304">
        <v>1</v>
      </c>
      <c r="L304" t="s">
        <v>646</v>
      </c>
      <c r="M304" t="s">
        <v>633</v>
      </c>
    </row>
    <row r="305" spans="1:13" x14ac:dyDescent="0.3">
      <c r="A305" t="s">
        <v>1065</v>
      </c>
      <c r="B305" t="s">
        <v>629</v>
      </c>
      <c r="C305" t="s">
        <v>635</v>
      </c>
      <c r="D305">
        <v>0</v>
      </c>
      <c r="E305" t="s">
        <v>631</v>
      </c>
      <c r="F305" t="s">
        <v>630</v>
      </c>
      <c r="G305">
        <v>2666</v>
      </c>
      <c r="H305">
        <v>4300</v>
      </c>
      <c r="I305">
        <v>121</v>
      </c>
      <c r="J305">
        <v>360</v>
      </c>
      <c r="K305">
        <v>1</v>
      </c>
      <c r="L305" t="s">
        <v>636</v>
      </c>
      <c r="M305" t="s">
        <v>633</v>
      </c>
    </row>
    <row r="306" spans="1:13" x14ac:dyDescent="0.3">
      <c r="A306" t="s">
        <v>1066</v>
      </c>
      <c r="B306" t="s">
        <v>657</v>
      </c>
      <c r="C306" t="s">
        <v>630</v>
      </c>
      <c r="D306">
        <v>1</v>
      </c>
      <c r="E306" t="s">
        <v>640</v>
      </c>
      <c r="F306" t="s">
        <v>630</v>
      </c>
      <c r="G306">
        <v>4606</v>
      </c>
      <c r="H306">
        <v>0</v>
      </c>
      <c r="I306">
        <v>81</v>
      </c>
      <c r="J306">
        <v>360</v>
      </c>
      <c r="K306">
        <v>1</v>
      </c>
      <c r="L306" t="s">
        <v>636</v>
      </c>
      <c r="M306" t="s">
        <v>637</v>
      </c>
    </row>
    <row r="307" spans="1:13" x14ac:dyDescent="0.3">
      <c r="A307" t="s">
        <v>1067</v>
      </c>
      <c r="B307" t="s">
        <v>629</v>
      </c>
      <c r="C307" t="s">
        <v>635</v>
      </c>
      <c r="D307">
        <v>2</v>
      </c>
      <c r="E307" t="s">
        <v>631</v>
      </c>
      <c r="F307" t="s">
        <v>630</v>
      </c>
      <c r="G307">
        <v>5935</v>
      </c>
      <c r="H307">
        <v>0</v>
      </c>
      <c r="I307">
        <v>133</v>
      </c>
      <c r="J307">
        <v>360</v>
      </c>
      <c r="K307">
        <v>1</v>
      </c>
      <c r="L307" t="s">
        <v>646</v>
      </c>
      <c r="M307" t="s">
        <v>633</v>
      </c>
    </row>
    <row r="308" spans="1:13" x14ac:dyDescent="0.3">
      <c r="A308" t="s">
        <v>1068</v>
      </c>
      <c r="B308" t="s">
        <v>629</v>
      </c>
      <c r="C308" t="s">
        <v>635</v>
      </c>
      <c r="D308">
        <v>0</v>
      </c>
      <c r="E308" t="s">
        <v>631</v>
      </c>
      <c r="F308" t="s">
        <v>630</v>
      </c>
      <c r="G308">
        <v>2920</v>
      </c>
      <c r="H308" s="1">
        <v>1612000084</v>
      </c>
      <c r="I308">
        <v>87</v>
      </c>
      <c r="J308">
        <v>360</v>
      </c>
      <c r="K308">
        <v>1</v>
      </c>
      <c r="L308" t="s">
        <v>636</v>
      </c>
      <c r="M308" t="s">
        <v>633</v>
      </c>
    </row>
    <row r="309" spans="1:13" x14ac:dyDescent="0.3">
      <c r="A309" t="s">
        <v>1069</v>
      </c>
      <c r="B309" t="s">
        <v>629</v>
      </c>
      <c r="C309" t="s">
        <v>630</v>
      </c>
      <c r="D309">
        <v>0</v>
      </c>
      <c r="E309" t="s">
        <v>640</v>
      </c>
      <c r="F309" t="s">
        <v>630</v>
      </c>
      <c r="G309">
        <v>2717</v>
      </c>
      <c r="H309">
        <v>0</v>
      </c>
      <c r="I309">
        <v>60</v>
      </c>
      <c r="J309">
        <v>180</v>
      </c>
      <c r="K309">
        <v>1</v>
      </c>
      <c r="L309" t="s">
        <v>632</v>
      </c>
      <c r="M309" t="s">
        <v>633</v>
      </c>
    </row>
    <row r="310" spans="1:13" x14ac:dyDescent="0.3">
      <c r="A310" t="s">
        <v>1070</v>
      </c>
      <c r="B310" t="s">
        <v>657</v>
      </c>
      <c r="C310" t="s">
        <v>630</v>
      </c>
      <c r="D310">
        <v>1</v>
      </c>
      <c r="E310" t="s">
        <v>631</v>
      </c>
      <c r="F310" t="s">
        <v>635</v>
      </c>
      <c r="G310">
        <v>8624</v>
      </c>
      <c r="H310">
        <v>0</v>
      </c>
      <c r="I310">
        <v>150</v>
      </c>
      <c r="J310">
        <v>360</v>
      </c>
      <c r="K310">
        <v>1</v>
      </c>
      <c r="L310" t="s">
        <v>646</v>
      </c>
      <c r="M310" t="s">
        <v>633</v>
      </c>
    </row>
    <row r="311" spans="1:13" x14ac:dyDescent="0.3">
      <c r="A311" t="s">
        <v>1071</v>
      </c>
      <c r="B311" t="s">
        <v>629</v>
      </c>
      <c r="C311" t="s">
        <v>630</v>
      </c>
      <c r="D311">
        <v>0</v>
      </c>
      <c r="E311" t="s">
        <v>631</v>
      </c>
      <c r="F311" t="s">
        <v>630</v>
      </c>
      <c r="G311">
        <v>6500</v>
      </c>
      <c r="H311">
        <v>0</v>
      </c>
      <c r="I311">
        <v>105</v>
      </c>
      <c r="J311">
        <v>360</v>
      </c>
      <c r="K311">
        <v>0</v>
      </c>
      <c r="L311" t="s">
        <v>636</v>
      </c>
      <c r="M311" t="s">
        <v>637</v>
      </c>
    </row>
    <row r="312" spans="1:13" x14ac:dyDescent="0.3">
      <c r="A312" t="s">
        <v>1073</v>
      </c>
      <c r="B312" t="s">
        <v>629</v>
      </c>
      <c r="C312" t="s">
        <v>635</v>
      </c>
      <c r="D312">
        <v>0</v>
      </c>
      <c r="E312" t="s">
        <v>631</v>
      </c>
      <c r="F312" t="s">
        <v>630</v>
      </c>
      <c r="G312">
        <v>2425</v>
      </c>
      <c r="H312">
        <v>2340</v>
      </c>
      <c r="I312">
        <v>143</v>
      </c>
      <c r="J312">
        <v>360</v>
      </c>
      <c r="K312">
        <v>1</v>
      </c>
      <c r="L312" t="s">
        <v>646</v>
      </c>
      <c r="M312" t="s">
        <v>633</v>
      </c>
    </row>
    <row r="313" spans="1:13" x14ac:dyDescent="0.3">
      <c r="A313" t="s">
        <v>1074</v>
      </c>
      <c r="B313" t="s">
        <v>629</v>
      </c>
      <c r="C313" t="s">
        <v>630</v>
      </c>
      <c r="D313">
        <v>0</v>
      </c>
      <c r="E313" t="s">
        <v>631</v>
      </c>
      <c r="F313" t="s">
        <v>630</v>
      </c>
      <c r="G313">
        <v>3750</v>
      </c>
      <c r="H313">
        <v>0</v>
      </c>
      <c r="I313">
        <v>100</v>
      </c>
      <c r="J313">
        <v>360</v>
      </c>
      <c r="K313">
        <v>1</v>
      </c>
      <c r="L313" t="s">
        <v>632</v>
      </c>
      <c r="M313" t="s">
        <v>633</v>
      </c>
    </row>
    <row r="314" spans="1:13" x14ac:dyDescent="0.3">
      <c r="A314" t="s">
        <v>1076</v>
      </c>
      <c r="B314" t="s">
        <v>629</v>
      </c>
      <c r="C314" t="s">
        <v>630</v>
      </c>
      <c r="D314">
        <v>0</v>
      </c>
      <c r="E314" t="s">
        <v>631</v>
      </c>
      <c r="F314" t="s">
        <v>630</v>
      </c>
      <c r="G314">
        <v>1926</v>
      </c>
      <c r="H314">
        <v>1851</v>
      </c>
      <c r="I314">
        <v>50</v>
      </c>
      <c r="J314">
        <v>360</v>
      </c>
      <c r="K314">
        <v>1</v>
      </c>
      <c r="L314" t="s">
        <v>646</v>
      </c>
      <c r="M314" t="s">
        <v>633</v>
      </c>
    </row>
    <row r="315" spans="1:13" x14ac:dyDescent="0.3">
      <c r="A315" t="s">
        <v>1078</v>
      </c>
      <c r="B315" t="s">
        <v>629</v>
      </c>
      <c r="C315" t="s">
        <v>630</v>
      </c>
      <c r="D315">
        <v>0</v>
      </c>
      <c r="E315" t="s">
        <v>631</v>
      </c>
      <c r="F315" t="s">
        <v>635</v>
      </c>
      <c r="G315">
        <v>10416</v>
      </c>
      <c r="H315">
        <v>0</v>
      </c>
      <c r="I315">
        <v>187</v>
      </c>
      <c r="J315">
        <v>360</v>
      </c>
      <c r="K315">
        <v>0</v>
      </c>
      <c r="L315" t="s">
        <v>632</v>
      </c>
      <c r="M315" t="s">
        <v>637</v>
      </c>
    </row>
    <row r="316" spans="1:13" x14ac:dyDescent="0.3">
      <c r="A316" t="s">
        <v>1079</v>
      </c>
      <c r="B316" t="s">
        <v>657</v>
      </c>
      <c r="C316" t="s">
        <v>635</v>
      </c>
      <c r="D316">
        <v>0</v>
      </c>
      <c r="E316" t="s">
        <v>640</v>
      </c>
      <c r="F316" t="s">
        <v>635</v>
      </c>
      <c r="G316">
        <v>7142</v>
      </c>
      <c r="H316">
        <v>0</v>
      </c>
      <c r="I316">
        <v>138</v>
      </c>
      <c r="J316">
        <v>360</v>
      </c>
      <c r="K316">
        <v>1</v>
      </c>
      <c r="L316" t="s">
        <v>636</v>
      </c>
      <c r="M316" t="s">
        <v>633</v>
      </c>
    </row>
    <row r="317" spans="1:13" x14ac:dyDescent="0.3">
      <c r="A317" t="s">
        <v>1080</v>
      </c>
      <c r="B317" t="s">
        <v>629</v>
      </c>
      <c r="C317" t="s">
        <v>630</v>
      </c>
      <c r="D317">
        <v>0</v>
      </c>
      <c r="E317" t="s">
        <v>631</v>
      </c>
      <c r="F317" t="s">
        <v>630</v>
      </c>
      <c r="G317">
        <v>3660</v>
      </c>
      <c r="H317">
        <v>5064</v>
      </c>
      <c r="I317">
        <v>187</v>
      </c>
      <c r="J317">
        <v>360</v>
      </c>
      <c r="K317">
        <v>1</v>
      </c>
      <c r="L317" t="s">
        <v>646</v>
      </c>
      <c r="M317" t="s">
        <v>633</v>
      </c>
    </row>
    <row r="318" spans="1:13" x14ac:dyDescent="0.3">
      <c r="A318" t="s">
        <v>1081</v>
      </c>
      <c r="B318" t="s">
        <v>629</v>
      </c>
      <c r="C318" t="s">
        <v>635</v>
      </c>
      <c r="D318">
        <v>0</v>
      </c>
      <c r="E318" t="s">
        <v>631</v>
      </c>
      <c r="F318" t="s">
        <v>630</v>
      </c>
      <c r="G318">
        <v>7901</v>
      </c>
      <c r="H318">
        <v>1833</v>
      </c>
      <c r="I318">
        <v>180</v>
      </c>
      <c r="J318">
        <v>360</v>
      </c>
      <c r="K318">
        <v>1</v>
      </c>
      <c r="L318" t="s">
        <v>636</v>
      </c>
      <c r="M318" t="s">
        <v>633</v>
      </c>
    </row>
    <row r="319" spans="1:13" x14ac:dyDescent="0.3">
      <c r="A319" t="s">
        <v>1082</v>
      </c>
      <c r="B319" t="s">
        <v>629</v>
      </c>
      <c r="C319" t="s">
        <v>630</v>
      </c>
      <c r="D319" t="s">
        <v>645</v>
      </c>
      <c r="E319" t="s">
        <v>640</v>
      </c>
      <c r="F319" t="s">
        <v>630</v>
      </c>
      <c r="G319">
        <v>4707</v>
      </c>
      <c r="H319">
        <v>1993</v>
      </c>
      <c r="I319">
        <v>148</v>
      </c>
      <c r="J319">
        <v>360</v>
      </c>
      <c r="K319">
        <v>1</v>
      </c>
      <c r="L319" t="s">
        <v>646</v>
      </c>
      <c r="M319" t="s">
        <v>633</v>
      </c>
    </row>
    <row r="320" spans="1:13" x14ac:dyDescent="0.3">
      <c r="A320" t="s">
        <v>1083</v>
      </c>
      <c r="B320" t="s">
        <v>629</v>
      </c>
      <c r="C320" t="s">
        <v>630</v>
      </c>
      <c r="D320">
        <v>1</v>
      </c>
      <c r="E320" t="s">
        <v>631</v>
      </c>
      <c r="F320" t="s">
        <v>630</v>
      </c>
      <c r="G320">
        <v>37719</v>
      </c>
      <c r="H320">
        <v>0</v>
      </c>
      <c r="I320">
        <v>152</v>
      </c>
      <c r="J320">
        <v>360</v>
      </c>
      <c r="K320">
        <v>1</v>
      </c>
      <c r="L320" t="s">
        <v>646</v>
      </c>
      <c r="M320" t="s">
        <v>633</v>
      </c>
    </row>
    <row r="321" spans="1:13" x14ac:dyDescent="0.3">
      <c r="A321" t="s">
        <v>1085</v>
      </c>
      <c r="B321" t="s">
        <v>629</v>
      </c>
      <c r="C321" t="s">
        <v>635</v>
      </c>
      <c r="D321">
        <v>1</v>
      </c>
      <c r="E321" t="s">
        <v>631</v>
      </c>
      <c r="F321" t="s">
        <v>635</v>
      </c>
      <c r="G321">
        <v>3466</v>
      </c>
      <c r="H321">
        <v>1210</v>
      </c>
      <c r="I321">
        <v>130</v>
      </c>
      <c r="J321">
        <v>360</v>
      </c>
      <c r="K321">
        <v>1</v>
      </c>
      <c r="L321" t="s">
        <v>636</v>
      </c>
      <c r="M321" t="s">
        <v>633</v>
      </c>
    </row>
    <row r="322" spans="1:13" x14ac:dyDescent="0.3">
      <c r="A322" t="s">
        <v>1086</v>
      </c>
      <c r="B322" t="s">
        <v>629</v>
      </c>
      <c r="C322" t="s">
        <v>635</v>
      </c>
      <c r="D322">
        <v>2</v>
      </c>
      <c r="E322" t="s">
        <v>640</v>
      </c>
      <c r="F322" t="s">
        <v>630</v>
      </c>
      <c r="G322">
        <v>4652</v>
      </c>
      <c r="H322">
        <v>0</v>
      </c>
      <c r="I322">
        <v>110</v>
      </c>
      <c r="J322">
        <v>360</v>
      </c>
      <c r="K322">
        <v>1</v>
      </c>
      <c r="L322" t="s">
        <v>636</v>
      </c>
      <c r="M322" t="s">
        <v>633</v>
      </c>
    </row>
    <row r="323" spans="1:13" x14ac:dyDescent="0.3">
      <c r="A323" t="s">
        <v>1088</v>
      </c>
      <c r="B323" t="s">
        <v>629</v>
      </c>
      <c r="C323" t="s">
        <v>635</v>
      </c>
      <c r="D323">
        <v>2</v>
      </c>
      <c r="E323" t="s">
        <v>631</v>
      </c>
      <c r="F323" t="s">
        <v>630</v>
      </c>
      <c r="G323">
        <v>3340</v>
      </c>
      <c r="H323">
        <v>1710</v>
      </c>
      <c r="I323">
        <v>150</v>
      </c>
      <c r="J323">
        <v>360</v>
      </c>
      <c r="K323">
        <v>0</v>
      </c>
      <c r="L323" t="s">
        <v>636</v>
      </c>
      <c r="M323" t="s">
        <v>637</v>
      </c>
    </row>
    <row r="324" spans="1:13" x14ac:dyDescent="0.3">
      <c r="A324" t="s">
        <v>1090</v>
      </c>
      <c r="B324" t="s">
        <v>629</v>
      </c>
      <c r="C324" t="s">
        <v>635</v>
      </c>
      <c r="D324">
        <v>2</v>
      </c>
      <c r="E324" t="s">
        <v>640</v>
      </c>
      <c r="F324" t="s">
        <v>630</v>
      </c>
      <c r="G324">
        <v>2309</v>
      </c>
      <c r="H324">
        <v>1255</v>
      </c>
      <c r="I324">
        <v>125</v>
      </c>
      <c r="J324">
        <v>360</v>
      </c>
      <c r="K324">
        <v>0</v>
      </c>
      <c r="L324" t="s">
        <v>636</v>
      </c>
      <c r="M324" t="s">
        <v>637</v>
      </c>
    </row>
    <row r="325" spans="1:13" x14ac:dyDescent="0.3">
      <c r="A325" t="s">
        <v>1092</v>
      </c>
      <c r="B325" t="s">
        <v>629</v>
      </c>
      <c r="C325" t="s">
        <v>635</v>
      </c>
      <c r="D325">
        <v>0</v>
      </c>
      <c r="E325" t="s">
        <v>631</v>
      </c>
      <c r="F325" t="s">
        <v>630</v>
      </c>
      <c r="G325">
        <v>3948</v>
      </c>
      <c r="H325">
        <v>1733</v>
      </c>
      <c r="I325">
        <v>149</v>
      </c>
      <c r="J325">
        <v>360</v>
      </c>
      <c r="K325">
        <v>0</v>
      </c>
      <c r="L325" t="s">
        <v>636</v>
      </c>
      <c r="M325" t="s">
        <v>637</v>
      </c>
    </row>
    <row r="326" spans="1:13" x14ac:dyDescent="0.3">
      <c r="A326" t="s">
        <v>1093</v>
      </c>
      <c r="B326" t="s">
        <v>629</v>
      </c>
      <c r="C326" t="s">
        <v>635</v>
      </c>
      <c r="D326">
        <v>0</v>
      </c>
      <c r="E326" t="s">
        <v>631</v>
      </c>
      <c r="F326" t="s">
        <v>630</v>
      </c>
      <c r="G326">
        <v>2483</v>
      </c>
      <c r="H326">
        <v>2466</v>
      </c>
      <c r="I326">
        <v>90</v>
      </c>
      <c r="J326">
        <v>180</v>
      </c>
      <c r="K326">
        <v>0</v>
      </c>
      <c r="L326" t="s">
        <v>636</v>
      </c>
      <c r="M326" t="s">
        <v>633</v>
      </c>
    </row>
    <row r="327" spans="1:13" x14ac:dyDescent="0.3">
      <c r="A327" t="s">
        <v>1094</v>
      </c>
      <c r="B327" t="s">
        <v>629</v>
      </c>
      <c r="C327" t="s">
        <v>630</v>
      </c>
      <c r="D327">
        <v>0</v>
      </c>
      <c r="E327" t="s">
        <v>631</v>
      </c>
      <c r="F327" t="s">
        <v>635</v>
      </c>
      <c r="G327">
        <v>7085</v>
      </c>
      <c r="H327">
        <v>0</v>
      </c>
      <c r="I327">
        <v>84</v>
      </c>
      <c r="J327">
        <v>360</v>
      </c>
      <c r="K327">
        <v>1</v>
      </c>
      <c r="L327" t="s">
        <v>646</v>
      </c>
      <c r="M327" t="s">
        <v>633</v>
      </c>
    </row>
    <row r="328" spans="1:13" x14ac:dyDescent="0.3">
      <c r="A328" t="s">
        <v>1095</v>
      </c>
      <c r="B328" t="s">
        <v>629</v>
      </c>
      <c r="C328" t="s">
        <v>635</v>
      </c>
      <c r="D328">
        <v>2</v>
      </c>
      <c r="E328" t="s">
        <v>631</v>
      </c>
      <c r="F328" t="s">
        <v>630</v>
      </c>
      <c r="G328">
        <v>3859</v>
      </c>
      <c r="H328">
        <v>0</v>
      </c>
      <c r="I328">
        <v>96</v>
      </c>
      <c r="J328">
        <v>360</v>
      </c>
      <c r="K328">
        <v>1</v>
      </c>
      <c r="L328" t="s">
        <v>646</v>
      </c>
      <c r="M328" t="s">
        <v>633</v>
      </c>
    </row>
    <row r="329" spans="1:13" x14ac:dyDescent="0.3">
      <c r="A329" t="s">
        <v>1096</v>
      </c>
      <c r="B329" t="s">
        <v>629</v>
      </c>
      <c r="C329" t="s">
        <v>635</v>
      </c>
      <c r="D329">
        <v>0</v>
      </c>
      <c r="E329" t="s">
        <v>631</v>
      </c>
      <c r="F329" t="s">
        <v>630</v>
      </c>
      <c r="G329">
        <v>4301</v>
      </c>
      <c r="H329">
        <v>0</v>
      </c>
      <c r="I329">
        <v>118</v>
      </c>
      <c r="J329">
        <v>360</v>
      </c>
      <c r="K329">
        <v>1</v>
      </c>
      <c r="L329" t="s">
        <v>632</v>
      </c>
      <c r="M329" t="s">
        <v>633</v>
      </c>
    </row>
    <row r="330" spans="1:13" x14ac:dyDescent="0.3">
      <c r="A330" t="s">
        <v>1097</v>
      </c>
      <c r="B330" t="s">
        <v>629</v>
      </c>
      <c r="C330" t="s">
        <v>635</v>
      </c>
      <c r="D330">
        <v>0</v>
      </c>
      <c r="E330" t="s">
        <v>631</v>
      </c>
      <c r="F330" t="s">
        <v>630</v>
      </c>
      <c r="G330">
        <v>3708</v>
      </c>
      <c r="H330">
        <v>2569</v>
      </c>
      <c r="I330">
        <v>173</v>
      </c>
      <c r="J330">
        <v>360</v>
      </c>
      <c r="K330">
        <v>1</v>
      </c>
      <c r="L330" t="s">
        <v>632</v>
      </c>
      <c r="M330" t="s">
        <v>637</v>
      </c>
    </row>
    <row r="331" spans="1:13" x14ac:dyDescent="0.3">
      <c r="A331" t="s">
        <v>1098</v>
      </c>
      <c r="B331" t="s">
        <v>629</v>
      </c>
      <c r="C331" t="s">
        <v>630</v>
      </c>
      <c r="D331">
        <v>2</v>
      </c>
      <c r="E331" t="s">
        <v>631</v>
      </c>
      <c r="F331" t="s">
        <v>630</v>
      </c>
      <c r="G331">
        <v>4354</v>
      </c>
      <c r="H331">
        <v>0</v>
      </c>
      <c r="I331">
        <v>136</v>
      </c>
      <c r="J331">
        <v>360</v>
      </c>
      <c r="K331">
        <v>1</v>
      </c>
      <c r="L331" t="s">
        <v>636</v>
      </c>
      <c r="M331" t="s">
        <v>633</v>
      </c>
    </row>
    <row r="332" spans="1:13" x14ac:dyDescent="0.3">
      <c r="A332" t="s">
        <v>1099</v>
      </c>
      <c r="B332" t="s">
        <v>629</v>
      </c>
      <c r="C332" t="s">
        <v>635</v>
      </c>
      <c r="D332">
        <v>0</v>
      </c>
      <c r="E332" t="s">
        <v>631</v>
      </c>
      <c r="F332" t="s">
        <v>630</v>
      </c>
      <c r="G332">
        <v>8334</v>
      </c>
      <c r="H332">
        <v>0</v>
      </c>
      <c r="I332">
        <v>160</v>
      </c>
      <c r="J332">
        <v>360</v>
      </c>
      <c r="K332">
        <v>1</v>
      </c>
      <c r="L332" t="s">
        <v>646</v>
      </c>
      <c r="M332" t="s">
        <v>637</v>
      </c>
    </row>
    <row r="333" spans="1:13" x14ac:dyDescent="0.3">
      <c r="A333" t="s">
        <v>1101</v>
      </c>
      <c r="B333" t="s">
        <v>629</v>
      </c>
      <c r="C333" t="s">
        <v>635</v>
      </c>
      <c r="D333" t="s">
        <v>645</v>
      </c>
      <c r="E333" t="s">
        <v>631</v>
      </c>
      <c r="F333" t="s">
        <v>630</v>
      </c>
      <c r="G333">
        <v>7740</v>
      </c>
      <c r="H333">
        <v>0</v>
      </c>
      <c r="I333">
        <v>128</v>
      </c>
      <c r="J333">
        <v>180</v>
      </c>
      <c r="K333">
        <v>1</v>
      </c>
      <c r="L333" t="s">
        <v>632</v>
      </c>
      <c r="M333" t="s">
        <v>633</v>
      </c>
    </row>
    <row r="334" spans="1:13" x14ac:dyDescent="0.3">
      <c r="A334" t="s">
        <v>1102</v>
      </c>
      <c r="B334" t="s">
        <v>629</v>
      </c>
      <c r="C334" t="s">
        <v>635</v>
      </c>
      <c r="D334">
        <v>0</v>
      </c>
      <c r="E334" t="s">
        <v>631</v>
      </c>
      <c r="F334" t="s">
        <v>630</v>
      </c>
      <c r="G334">
        <v>3015</v>
      </c>
      <c r="H334">
        <v>2188</v>
      </c>
      <c r="I334">
        <v>153</v>
      </c>
      <c r="J334">
        <v>360</v>
      </c>
      <c r="K334">
        <v>1</v>
      </c>
      <c r="L334" t="s">
        <v>636</v>
      </c>
      <c r="M334" t="s">
        <v>633</v>
      </c>
    </row>
    <row r="335" spans="1:13" x14ac:dyDescent="0.3">
      <c r="A335" t="s">
        <v>1104</v>
      </c>
      <c r="B335" t="s">
        <v>629</v>
      </c>
      <c r="C335" t="s">
        <v>630</v>
      </c>
      <c r="D335">
        <v>0</v>
      </c>
      <c r="E335" t="s">
        <v>631</v>
      </c>
      <c r="F335" t="s">
        <v>630</v>
      </c>
      <c r="G335">
        <v>4166</v>
      </c>
      <c r="H335">
        <v>0</v>
      </c>
      <c r="I335">
        <v>98</v>
      </c>
      <c r="J335">
        <v>360</v>
      </c>
      <c r="K335">
        <v>0</v>
      </c>
      <c r="L335" t="s">
        <v>646</v>
      </c>
      <c r="M335" t="s">
        <v>637</v>
      </c>
    </row>
    <row r="336" spans="1:13" x14ac:dyDescent="0.3">
      <c r="A336" t="s">
        <v>1105</v>
      </c>
      <c r="B336" t="s">
        <v>629</v>
      </c>
      <c r="C336" t="s">
        <v>630</v>
      </c>
      <c r="D336">
        <v>0</v>
      </c>
      <c r="E336" t="s">
        <v>631</v>
      </c>
      <c r="F336" t="s">
        <v>630</v>
      </c>
      <c r="G336">
        <v>6000</v>
      </c>
      <c r="H336">
        <v>0</v>
      </c>
      <c r="I336">
        <v>140</v>
      </c>
      <c r="J336">
        <v>360</v>
      </c>
      <c r="K336">
        <v>1</v>
      </c>
      <c r="L336" t="s">
        <v>636</v>
      </c>
      <c r="M336" t="s">
        <v>633</v>
      </c>
    </row>
    <row r="337" spans="1:13" x14ac:dyDescent="0.3">
      <c r="A337" t="s">
        <v>1106</v>
      </c>
      <c r="B337" t="s">
        <v>629</v>
      </c>
      <c r="C337" t="s">
        <v>635</v>
      </c>
      <c r="D337" t="s">
        <v>645</v>
      </c>
      <c r="E337" t="s">
        <v>640</v>
      </c>
      <c r="F337" t="s">
        <v>630</v>
      </c>
      <c r="G337">
        <v>2947</v>
      </c>
      <c r="H337">
        <v>1664</v>
      </c>
      <c r="I337">
        <v>70</v>
      </c>
      <c r="J337">
        <v>180</v>
      </c>
      <c r="K337">
        <v>0</v>
      </c>
      <c r="L337" t="s">
        <v>632</v>
      </c>
      <c r="M337" t="s">
        <v>637</v>
      </c>
    </row>
    <row r="338" spans="1:13" x14ac:dyDescent="0.3">
      <c r="A338" t="s">
        <v>1109</v>
      </c>
      <c r="B338" t="s">
        <v>629</v>
      </c>
      <c r="C338" t="s">
        <v>635</v>
      </c>
      <c r="D338">
        <v>0</v>
      </c>
      <c r="E338" t="s">
        <v>631</v>
      </c>
      <c r="F338" t="s">
        <v>630</v>
      </c>
      <c r="G338">
        <v>4333</v>
      </c>
      <c r="H338">
        <v>2451</v>
      </c>
      <c r="I338">
        <v>110</v>
      </c>
      <c r="J338">
        <v>360</v>
      </c>
      <c r="K338">
        <v>1</v>
      </c>
      <c r="L338" t="s">
        <v>632</v>
      </c>
      <c r="M338" t="s">
        <v>637</v>
      </c>
    </row>
    <row r="339" spans="1:13" x14ac:dyDescent="0.3">
      <c r="A339" t="s">
        <v>1110</v>
      </c>
      <c r="B339" t="s">
        <v>629</v>
      </c>
      <c r="C339" t="s">
        <v>635</v>
      </c>
      <c r="D339">
        <v>1</v>
      </c>
      <c r="E339" t="s">
        <v>631</v>
      </c>
      <c r="F339" t="s">
        <v>635</v>
      </c>
      <c r="G339">
        <v>3450</v>
      </c>
      <c r="H339">
        <v>2079</v>
      </c>
      <c r="I339">
        <v>162</v>
      </c>
      <c r="J339">
        <v>360</v>
      </c>
      <c r="K339">
        <v>1</v>
      </c>
      <c r="L339" t="s">
        <v>646</v>
      </c>
      <c r="M339" t="s">
        <v>633</v>
      </c>
    </row>
    <row r="340" spans="1:13" x14ac:dyDescent="0.3">
      <c r="A340" t="s">
        <v>1111</v>
      </c>
      <c r="B340" t="s">
        <v>629</v>
      </c>
      <c r="C340" t="s">
        <v>635</v>
      </c>
      <c r="D340">
        <v>1</v>
      </c>
      <c r="E340" t="s">
        <v>640</v>
      </c>
      <c r="F340" t="s">
        <v>630</v>
      </c>
      <c r="G340">
        <v>2653</v>
      </c>
      <c r="H340">
        <v>1500</v>
      </c>
      <c r="I340">
        <v>113</v>
      </c>
      <c r="J340">
        <v>180</v>
      </c>
      <c r="K340">
        <v>0</v>
      </c>
      <c r="L340" t="s">
        <v>636</v>
      </c>
      <c r="M340" t="s">
        <v>637</v>
      </c>
    </row>
    <row r="341" spans="1:13" x14ac:dyDescent="0.3">
      <c r="A341" t="s">
        <v>1112</v>
      </c>
      <c r="B341" t="s">
        <v>629</v>
      </c>
      <c r="C341" t="s">
        <v>635</v>
      </c>
      <c r="D341" t="s">
        <v>645</v>
      </c>
      <c r="E341" t="s">
        <v>631</v>
      </c>
      <c r="F341" t="s">
        <v>630</v>
      </c>
      <c r="G341">
        <v>4691</v>
      </c>
      <c r="H341">
        <v>0</v>
      </c>
      <c r="I341">
        <v>100</v>
      </c>
      <c r="J341">
        <v>360</v>
      </c>
      <c r="K341">
        <v>1</v>
      </c>
      <c r="L341" t="s">
        <v>646</v>
      </c>
      <c r="M341" t="s">
        <v>633</v>
      </c>
    </row>
    <row r="342" spans="1:13" x14ac:dyDescent="0.3">
      <c r="A342" t="s">
        <v>1114</v>
      </c>
      <c r="B342" t="s">
        <v>629</v>
      </c>
      <c r="C342" t="s">
        <v>630</v>
      </c>
      <c r="D342">
        <v>2</v>
      </c>
      <c r="E342" t="s">
        <v>631</v>
      </c>
      <c r="F342" t="s">
        <v>630</v>
      </c>
      <c r="G342">
        <v>5532</v>
      </c>
      <c r="H342">
        <v>4648</v>
      </c>
      <c r="I342">
        <v>162</v>
      </c>
      <c r="J342">
        <v>360</v>
      </c>
      <c r="K342">
        <v>1</v>
      </c>
      <c r="L342" t="s">
        <v>636</v>
      </c>
      <c r="M342" t="s">
        <v>633</v>
      </c>
    </row>
    <row r="343" spans="1:13" x14ac:dyDescent="0.3">
      <c r="A343" t="s">
        <v>1115</v>
      </c>
      <c r="B343" t="s">
        <v>629</v>
      </c>
      <c r="C343" t="s">
        <v>635</v>
      </c>
      <c r="D343">
        <v>2</v>
      </c>
      <c r="E343" t="s">
        <v>631</v>
      </c>
      <c r="F343" t="s">
        <v>635</v>
      </c>
      <c r="G343">
        <v>16525</v>
      </c>
      <c r="H343">
        <v>1014</v>
      </c>
      <c r="I343">
        <v>150</v>
      </c>
      <c r="J343">
        <v>360</v>
      </c>
      <c r="K343">
        <v>1</v>
      </c>
      <c r="L343" t="s">
        <v>636</v>
      </c>
      <c r="M343" t="s">
        <v>633</v>
      </c>
    </row>
    <row r="344" spans="1:13" x14ac:dyDescent="0.3">
      <c r="A344" t="s">
        <v>1116</v>
      </c>
      <c r="B344" t="s">
        <v>629</v>
      </c>
      <c r="C344" t="s">
        <v>635</v>
      </c>
      <c r="D344">
        <v>2</v>
      </c>
      <c r="E344" t="s">
        <v>631</v>
      </c>
      <c r="F344" t="s">
        <v>630</v>
      </c>
      <c r="G344">
        <v>6700</v>
      </c>
      <c r="H344">
        <v>1750</v>
      </c>
      <c r="I344">
        <v>230</v>
      </c>
      <c r="J344">
        <v>300</v>
      </c>
      <c r="K344">
        <v>1</v>
      </c>
      <c r="L344" t="s">
        <v>646</v>
      </c>
      <c r="M344" t="s">
        <v>633</v>
      </c>
    </row>
    <row r="345" spans="1:13" x14ac:dyDescent="0.3">
      <c r="A345" t="s">
        <v>1118</v>
      </c>
      <c r="B345" t="s">
        <v>629</v>
      </c>
      <c r="C345" t="s">
        <v>635</v>
      </c>
      <c r="D345">
        <v>1</v>
      </c>
      <c r="E345" t="s">
        <v>631</v>
      </c>
      <c r="F345" t="s">
        <v>635</v>
      </c>
      <c r="G345">
        <v>16667</v>
      </c>
      <c r="H345">
        <v>2250</v>
      </c>
      <c r="I345">
        <v>86</v>
      </c>
      <c r="J345">
        <v>360</v>
      </c>
      <c r="K345">
        <v>1</v>
      </c>
      <c r="L345" t="s">
        <v>646</v>
      </c>
      <c r="M345" t="s">
        <v>633</v>
      </c>
    </row>
    <row r="346" spans="1:13" x14ac:dyDescent="0.3">
      <c r="A346" t="s">
        <v>1120</v>
      </c>
      <c r="B346" t="s">
        <v>657</v>
      </c>
      <c r="C346" t="s">
        <v>630</v>
      </c>
      <c r="D346">
        <v>0</v>
      </c>
      <c r="E346" t="s">
        <v>640</v>
      </c>
      <c r="F346" t="s">
        <v>630</v>
      </c>
      <c r="G346">
        <v>4350</v>
      </c>
      <c r="H346">
        <v>0</v>
      </c>
      <c r="I346">
        <v>154</v>
      </c>
      <c r="J346">
        <v>360</v>
      </c>
      <c r="K346">
        <v>1</v>
      </c>
      <c r="L346" t="s">
        <v>636</v>
      </c>
      <c r="M346" t="s">
        <v>633</v>
      </c>
    </row>
    <row r="347" spans="1:13" x14ac:dyDescent="0.3">
      <c r="A347" t="s">
        <v>1121</v>
      </c>
      <c r="B347" t="s">
        <v>629</v>
      </c>
      <c r="C347" t="s">
        <v>635</v>
      </c>
      <c r="D347" t="s">
        <v>645</v>
      </c>
      <c r="E347" t="s">
        <v>640</v>
      </c>
      <c r="F347" t="s">
        <v>630</v>
      </c>
      <c r="G347">
        <v>3095</v>
      </c>
      <c r="H347">
        <v>0</v>
      </c>
      <c r="I347">
        <v>113</v>
      </c>
      <c r="J347">
        <v>360</v>
      </c>
      <c r="K347">
        <v>1</v>
      </c>
      <c r="L347" t="s">
        <v>636</v>
      </c>
      <c r="M347" t="s">
        <v>633</v>
      </c>
    </row>
    <row r="348" spans="1:13" x14ac:dyDescent="0.3">
      <c r="A348" t="s">
        <v>1122</v>
      </c>
      <c r="B348" t="s">
        <v>629</v>
      </c>
      <c r="C348" t="s">
        <v>635</v>
      </c>
      <c r="D348">
        <v>0</v>
      </c>
      <c r="E348" t="s">
        <v>631</v>
      </c>
      <c r="F348" t="s">
        <v>630</v>
      </c>
      <c r="G348">
        <v>2083</v>
      </c>
      <c r="H348">
        <v>3150</v>
      </c>
      <c r="I348">
        <v>128</v>
      </c>
      <c r="J348">
        <v>360</v>
      </c>
      <c r="K348">
        <v>1</v>
      </c>
      <c r="L348" t="s">
        <v>646</v>
      </c>
      <c r="M348" t="s">
        <v>633</v>
      </c>
    </row>
    <row r="349" spans="1:13" x14ac:dyDescent="0.3">
      <c r="A349" t="s">
        <v>1123</v>
      </c>
      <c r="B349" t="s">
        <v>629</v>
      </c>
      <c r="C349" t="s">
        <v>635</v>
      </c>
      <c r="D349">
        <v>0</v>
      </c>
      <c r="E349" t="s">
        <v>631</v>
      </c>
      <c r="F349" t="s">
        <v>630</v>
      </c>
      <c r="G349">
        <v>10833</v>
      </c>
      <c r="H349">
        <v>0</v>
      </c>
      <c r="I349">
        <v>234</v>
      </c>
      <c r="J349">
        <v>360</v>
      </c>
      <c r="K349">
        <v>1</v>
      </c>
      <c r="L349" t="s">
        <v>646</v>
      </c>
      <c r="M349" t="s">
        <v>633</v>
      </c>
    </row>
    <row r="350" spans="1:13" x14ac:dyDescent="0.3">
      <c r="A350" t="s">
        <v>1124</v>
      </c>
      <c r="B350" t="s">
        <v>629</v>
      </c>
      <c r="C350" t="s">
        <v>635</v>
      </c>
      <c r="D350">
        <v>2</v>
      </c>
      <c r="E350" t="s">
        <v>631</v>
      </c>
      <c r="F350" t="s">
        <v>630</v>
      </c>
      <c r="G350">
        <v>8333</v>
      </c>
      <c r="H350">
        <v>0</v>
      </c>
      <c r="I350">
        <v>246</v>
      </c>
      <c r="J350">
        <v>360</v>
      </c>
      <c r="K350">
        <v>1</v>
      </c>
      <c r="L350" t="s">
        <v>646</v>
      </c>
      <c r="M350" t="s">
        <v>633</v>
      </c>
    </row>
    <row r="351" spans="1:13" x14ac:dyDescent="0.3">
      <c r="A351" t="s">
        <v>1125</v>
      </c>
      <c r="B351" t="s">
        <v>629</v>
      </c>
      <c r="C351" t="s">
        <v>635</v>
      </c>
      <c r="D351">
        <v>1</v>
      </c>
      <c r="E351" t="s">
        <v>640</v>
      </c>
      <c r="F351" t="s">
        <v>630</v>
      </c>
      <c r="G351">
        <v>1958</v>
      </c>
      <c r="H351">
        <v>2436</v>
      </c>
      <c r="I351">
        <v>131</v>
      </c>
      <c r="J351">
        <v>360</v>
      </c>
      <c r="K351">
        <v>1</v>
      </c>
      <c r="L351" t="s">
        <v>636</v>
      </c>
      <c r="M351" t="s">
        <v>633</v>
      </c>
    </row>
    <row r="352" spans="1:13" x14ac:dyDescent="0.3">
      <c r="A352" t="s">
        <v>1126</v>
      </c>
      <c r="B352" t="s">
        <v>629</v>
      </c>
      <c r="C352" t="s">
        <v>630</v>
      </c>
      <c r="D352">
        <v>2</v>
      </c>
      <c r="E352" t="s">
        <v>631</v>
      </c>
      <c r="F352" t="s">
        <v>630</v>
      </c>
      <c r="G352">
        <v>3547</v>
      </c>
      <c r="H352">
        <v>0</v>
      </c>
      <c r="I352">
        <v>80</v>
      </c>
      <c r="J352">
        <v>360</v>
      </c>
      <c r="K352">
        <v>0</v>
      </c>
      <c r="L352" t="s">
        <v>636</v>
      </c>
      <c r="M352" t="s">
        <v>637</v>
      </c>
    </row>
    <row r="353" spans="1:13" x14ac:dyDescent="0.3">
      <c r="A353" t="s">
        <v>1128</v>
      </c>
      <c r="B353" t="s">
        <v>629</v>
      </c>
      <c r="C353" t="s">
        <v>635</v>
      </c>
      <c r="D353">
        <v>2</v>
      </c>
      <c r="E353" t="s">
        <v>631</v>
      </c>
      <c r="F353" t="s">
        <v>635</v>
      </c>
      <c r="G353">
        <v>4583</v>
      </c>
      <c r="H353">
        <v>2083</v>
      </c>
      <c r="I353">
        <v>160</v>
      </c>
      <c r="J353">
        <v>360</v>
      </c>
      <c r="K353">
        <v>1</v>
      </c>
      <c r="L353" t="s">
        <v>646</v>
      </c>
      <c r="M353" t="s">
        <v>633</v>
      </c>
    </row>
    <row r="354" spans="1:13" x14ac:dyDescent="0.3">
      <c r="A354" t="s">
        <v>1129</v>
      </c>
      <c r="B354" t="s">
        <v>629</v>
      </c>
      <c r="C354" t="s">
        <v>630</v>
      </c>
      <c r="D354">
        <v>0</v>
      </c>
      <c r="E354" t="s">
        <v>631</v>
      </c>
      <c r="F354" t="s">
        <v>630</v>
      </c>
      <c r="G354">
        <v>2435</v>
      </c>
      <c r="H354">
        <v>0</v>
      </c>
      <c r="I354">
        <v>75</v>
      </c>
      <c r="J354">
        <v>360</v>
      </c>
      <c r="K354">
        <v>1</v>
      </c>
      <c r="L354" t="s">
        <v>632</v>
      </c>
      <c r="M354" t="s">
        <v>637</v>
      </c>
    </row>
    <row r="355" spans="1:13" x14ac:dyDescent="0.3">
      <c r="A355" t="s">
        <v>1132</v>
      </c>
      <c r="B355" t="s">
        <v>629</v>
      </c>
      <c r="C355" t="s">
        <v>630</v>
      </c>
      <c r="D355">
        <v>0</v>
      </c>
      <c r="E355" t="s">
        <v>640</v>
      </c>
      <c r="F355" t="s">
        <v>630</v>
      </c>
      <c r="G355">
        <v>3691</v>
      </c>
      <c r="H355">
        <v>0</v>
      </c>
      <c r="I355">
        <v>110</v>
      </c>
      <c r="J355">
        <v>360</v>
      </c>
      <c r="K355">
        <v>1</v>
      </c>
      <c r="L355" t="s">
        <v>636</v>
      </c>
      <c r="M355" t="s">
        <v>633</v>
      </c>
    </row>
    <row r="356" spans="1:13" x14ac:dyDescent="0.3">
      <c r="A356" t="s">
        <v>1133</v>
      </c>
      <c r="B356" t="s">
        <v>657</v>
      </c>
      <c r="C356" t="s">
        <v>630</v>
      </c>
      <c r="D356">
        <v>0</v>
      </c>
      <c r="E356" t="s">
        <v>640</v>
      </c>
      <c r="F356" t="s">
        <v>635</v>
      </c>
      <c r="G356">
        <v>17263</v>
      </c>
      <c r="H356">
        <v>0</v>
      </c>
      <c r="I356">
        <v>225</v>
      </c>
      <c r="J356">
        <v>360</v>
      </c>
      <c r="K356">
        <v>1</v>
      </c>
      <c r="L356" t="s">
        <v>646</v>
      </c>
      <c r="M356" t="s">
        <v>633</v>
      </c>
    </row>
    <row r="357" spans="1:13" x14ac:dyDescent="0.3">
      <c r="A357" t="s">
        <v>1134</v>
      </c>
      <c r="B357" t="s">
        <v>629</v>
      </c>
      <c r="C357" t="s">
        <v>635</v>
      </c>
      <c r="D357">
        <v>0</v>
      </c>
      <c r="E357" t="s">
        <v>631</v>
      </c>
      <c r="F357" t="s">
        <v>630</v>
      </c>
      <c r="G357">
        <v>3597</v>
      </c>
      <c r="H357">
        <v>2157</v>
      </c>
      <c r="I357">
        <v>119</v>
      </c>
      <c r="J357">
        <v>360</v>
      </c>
      <c r="K357">
        <v>0</v>
      </c>
      <c r="L357" t="s">
        <v>636</v>
      </c>
      <c r="M357" t="s">
        <v>637</v>
      </c>
    </row>
    <row r="358" spans="1:13" x14ac:dyDescent="0.3">
      <c r="A358" t="s">
        <v>1135</v>
      </c>
      <c r="B358" t="s">
        <v>657</v>
      </c>
      <c r="C358" t="s">
        <v>635</v>
      </c>
      <c r="D358">
        <v>1</v>
      </c>
      <c r="E358" t="s">
        <v>631</v>
      </c>
      <c r="F358" t="s">
        <v>630</v>
      </c>
      <c r="G358">
        <v>3326</v>
      </c>
      <c r="H358">
        <v>913</v>
      </c>
      <c r="I358">
        <v>105</v>
      </c>
      <c r="J358">
        <v>84</v>
      </c>
      <c r="K358">
        <v>1</v>
      </c>
      <c r="L358" t="s">
        <v>646</v>
      </c>
      <c r="M358" t="s">
        <v>633</v>
      </c>
    </row>
    <row r="359" spans="1:13" x14ac:dyDescent="0.3">
      <c r="A359" t="s">
        <v>1136</v>
      </c>
      <c r="B359" t="s">
        <v>629</v>
      </c>
      <c r="C359" t="s">
        <v>635</v>
      </c>
      <c r="D359">
        <v>0</v>
      </c>
      <c r="E359" t="s">
        <v>640</v>
      </c>
      <c r="F359" t="s">
        <v>630</v>
      </c>
      <c r="G359">
        <v>2600</v>
      </c>
      <c r="H359">
        <v>1700</v>
      </c>
      <c r="I359">
        <v>107</v>
      </c>
      <c r="J359">
        <v>360</v>
      </c>
      <c r="K359">
        <v>1</v>
      </c>
      <c r="L359" t="s">
        <v>636</v>
      </c>
      <c r="M359" t="s">
        <v>633</v>
      </c>
    </row>
    <row r="360" spans="1:13" x14ac:dyDescent="0.3">
      <c r="A360" t="s">
        <v>1138</v>
      </c>
      <c r="B360" t="s">
        <v>629</v>
      </c>
      <c r="C360" t="s">
        <v>635</v>
      </c>
      <c r="D360">
        <v>1</v>
      </c>
      <c r="E360" t="s">
        <v>631</v>
      </c>
      <c r="F360" t="s">
        <v>635</v>
      </c>
      <c r="G360">
        <v>2895</v>
      </c>
      <c r="H360">
        <v>0</v>
      </c>
      <c r="I360">
        <v>95</v>
      </c>
      <c r="J360">
        <v>360</v>
      </c>
      <c r="K360">
        <v>1</v>
      </c>
      <c r="L360" t="s">
        <v>646</v>
      </c>
      <c r="M360" t="s">
        <v>633</v>
      </c>
    </row>
    <row r="361" spans="1:13" x14ac:dyDescent="0.3">
      <c r="A361" t="s">
        <v>1139</v>
      </c>
      <c r="B361" t="s">
        <v>629</v>
      </c>
      <c r="C361" t="s">
        <v>630</v>
      </c>
      <c r="D361">
        <v>0</v>
      </c>
      <c r="E361" t="s">
        <v>631</v>
      </c>
      <c r="F361" t="s">
        <v>630</v>
      </c>
      <c r="G361">
        <v>6283</v>
      </c>
      <c r="H361">
        <v>4416</v>
      </c>
      <c r="I361">
        <v>209</v>
      </c>
      <c r="J361">
        <v>360</v>
      </c>
      <c r="K361">
        <v>0</v>
      </c>
      <c r="L361" t="s">
        <v>636</v>
      </c>
      <c r="M361" t="s">
        <v>637</v>
      </c>
    </row>
    <row r="362" spans="1:13" x14ac:dyDescent="0.3">
      <c r="A362" t="s">
        <v>1140</v>
      </c>
      <c r="B362" t="s">
        <v>657</v>
      </c>
      <c r="C362" t="s">
        <v>630</v>
      </c>
      <c r="D362">
        <v>0</v>
      </c>
      <c r="E362" t="s">
        <v>631</v>
      </c>
      <c r="F362" t="s">
        <v>630</v>
      </c>
      <c r="G362">
        <v>645</v>
      </c>
      <c r="H362">
        <v>3683</v>
      </c>
      <c r="I362">
        <v>113</v>
      </c>
      <c r="J362">
        <v>480</v>
      </c>
      <c r="K362">
        <v>1</v>
      </c>
      <c r="L362" t="s">
        <v>636</v>
      </c>
      <c r="M362" t="s">
        <v>633</v>
      </c>
    </row>
    <row r="363" spans="1:13" x14ac:dyDescent="0.3">
      <c r="A363" t="s">
        <v>1141</v>
      </c>
      <c r="B363" t="s">
        <v>657</v>
      </c>
      <c r="C363" t="s">
        <v>630</v>
      </c>
      <c r="D363">
        <v>0</v>
      </c>
      <c r="E363" t="s">
        <v>631</v>
      </c>
      <c r="F363" t="s">
        <v>630</v>
      </c>
      <c r="G363">
        <v>3159</v>
      </c>
      <c r="H363">
        <v>0</v>
      </c>
      <c r="I363">
        <v>100</v>
      </c>
      <c r="J363">
        <v>360</v>
      </c>
      <c r="K363">
        <v>1</v>
      </c>
      <c r="L363" t="s">
        <v>646</v>
      </c>
      <c r="M363" t="s">
        <v>633</v>
      </c>
    </row>
    <row r="364" spans="1:13" x14ac:dyDescent="0.3">
      <c r="A364" t="s">
        <v>1142</v>
      </c>
      <c r="B364" t="s">
        <v>629</v>
      </c>
      <c r="C364" t="s">
        <v>635</v>
      </c>
      <c r="D364">
        <v>2</v>
      </c>
      <c r="E364" t="s">
        <v>631</v>
      </c>
      <c r="F364" t="s">
        <v>630</v>
      </c>
      <c r="G364">
        <v>4865</v>
      </c>
      <c r="H364">
        <v>5624</v>
      </c>
      <c r="I364">
        <v>208</v>
      </c>
      <c r="J364">
        <v>360</v>
      </c>
      <c r="K364">
        <v>1</v>
      </c>
      <c r="L364" t="s">
        <v>646</v>
      </c>
      <c r="M364" t="s">
        <v>633</v>
      </c>
    </row>
    <row r="365" spans="1:13" x14ac:dyDescent="0.3">
      <c r="A365" t="s">
        <v>1144</v>
      </c>
      <c r="B365" t="s">
        <v>629</v>
      </c>
      <c r="C365" t="s">
        <v>635</v>
      </c>
      <c r="D365">
        <v>0</v>
      </c>
      <c r="E365" t="s">
        <v>640</v>
      </c>
      <c r="F365" t="s">
        <v>630</v>
      </c>
      <c r="G365">
        <v>3814</v>
      </c>
      <c r="H365">
        <v>1483</v>
      </c>
      <c r="I365">
        <v>124</v>
      </c>
      <c r="J365">
        <v>300</v>
      </c>
      <c r="K365">
        <v>1</v>
      </c>
      <c r="L365" t="s">
        <v>646</v>
      </c>
      <c r="M365" t="s">
        <v>633</v>
      </c>
    </row>
    <row r="366" spans="1:13" x14ac:dyDescent="0.3">
      <c r="A366" t="s">
        <v>1145</v>
      </c>
      <c r="B366" t="s">
        <v>629</v>
      </c>
      <c r="C366" t="s">
        <v>635</v>
      </c>
      <c r="D366">
        <v>2</v>
      </c>
      <c r="E366" t="s">
        <v>631</v>
      </c>
      <c r="F366" t="s">
        <v>630</v>
      </c>
      <c r="G366">
        <v>3510</v>
      </c>
      <c r="H366">
        <v>4416</v>
      </c>
      <c r="I366">
        <v>243</v>
      </c>
      <c r="J366">
        <v>360</v>
      </c>
      <c r="K366">
        <v>1</v>
      </c>
      <c r="L366" t="s">
        <v>636</v>
      </c>
      <c r="M366" t="s">
        <v>633</v>
      </c>
    </row>
    <row r="367" spans="1:13" x14ac:dyDescent="0.3">
      <c r="A367" t="s">
        <v>1148</v>
      </c>
      <c r="B367" t="s">
        <v>629</v>
      </c>
      <c r="C367" t="s">
        <v>635</v>
      </c>
      <c r="D367">
        <v>0</v>
      </c>
      <c r="E367" t="s">
        <v>631</v>
      </c>
      <c r="F367" t="s">
        <v>635</v>
      </c>
      <c r="G367">
        <v>2479</v>
      </c>
      <c r="H367">
        <v>3013</v>
      </c>
      <c r="I367">
        <v>188</v>
      </c>
      <c r="J367">
        <v>360</v>
      </c>
      <c r="K367">
        <v>1</v>
      </c>
      <c r="L367" t="s">
        <v>632</v>
      </c>
      <c r="M367" t="s">
        <v>633</v>
      </c>
    </row>
    <row r="368" spans="1:13" x14ac:dyDescent="0.3">
      <c r="A368" t="s">
        <v>1149</v>
      </c>
      <c r="B368" t="s">
        <v>657</v>
      </c>
      <c r="C368" t="s">
        <v>630</v>
      </c>
      <c r="D368">
        <v>1</v>
      </c>
      <c r="E368" t="s">
        <v>631</v>
      </c>
      <c r="F368" t="s">
        <v>630</v>
      </c>
      <c r="G368">
        <v>13262</v>
      </c>
      <c r="H368">
        <v>0</v>
      </c>
      <c r="I368">
        <v>40</v>
      </c>
      <c r="J368">
        <v>360</v>
      </c>
      <c r="K368">
        <v>1</v>
      </c>
      <c r="L368" t="s">
        <v>632</v>
      </c>
      <c r="M368" t="s">
        <v>633</v>
      </c>
    </row>
    <row r="369" spans="1:13" x14ac:dyDescent="0.3">
      <c r="A369" t="s">
        <v>1150</v>
      </c>
      <c r="B369" t="s">
        <v>629</v>
      </c>
      <c r="C369" t="s">
        <v>630</v>
      </c>
      <c r="D369">
        <v>0</v>
      </c>
      <c r="E369" t="s">
        <v>640</v>
      </c>
      <c r="F369" t="s">
        <v>630</v>
      </c>
      <c r="G369">
        <v>3598</v>
      </c>
      <c r="H369">
        <v>1287</v>
      </c>
      <c r="I369">
        <v>100</v>
      </c>
      <c r="J369">
        <v>360</v>
      </c>
      <c r="K369">
        <v>1</v>
      </c>
      <c r="L369" t="s">
        <v>636</v>
      </c>
      <c r="M369" t="s">
        <v>637</v>
      </c>
    </row>
    <row r="370" spans="1:13" x14ac:dyDescent="0.3">
      <c r="A370" t="s">
        <v>1151</v>
      </c>
      <c r="B370" t="s">
        <v>629</v>
      </c>
      <c r="C370" t="s">
        <v>635</v>
      </c>
      <c r="D370">
        <v>1</v>
      </c>
      <c r="E370" t="s">
        <v>631</v>
      </c>
      <c r="F370" t="s">
        <v>630</v>
      </c>
      <c r="G370">
        <v>6065</v>
      </c>
      <c r="H370">
        <v>2004</v>
      </c>
      <c r="I370">
        <v>250</v>
      </c>
      <c r="J370">
        <v>360</v>
      </c>
      <c r="K370">
        <v>1</v>
      </c>
      <c r="L370" t="s">
        <v>646</v>
      </c>
      <c r="M370" t="s">
        <v>633</v>
      </c>
    </row>
    <row r="371" spans="1:13" x14ac:dyDescent="0.3">
      <c r="A371" t="s">
        <v>1152</v>
      </c>
      <c r="B371" t="s">
        <v>629</v>
      </c>
      <c r="C371" t="s">
        <v>635</v>
      </c>
      <c r="D371">
        <v>2</v>
      </c>
      <c r="E371" t="s">
        <v>631</v>
      </c>
      <c r="F371" t="s">
        <v>630</v>
      </c>
      <c r="G371">
        <v>3283</v>
      </c>
      <c r="H371">
        <v>2035</v>
      </c>
      <c r="I371">
        <v>148</v>
      </c>
      <c r="J371">
        <v>360</v>
      </c>
      <c r="K371">
        <v>1</v>
      </c>
      <c r="L371" t="s">
        <v>632</v>
      </c>
      <c r="M371" t="s">
        <v>633</v>
      </c>
    </row>
    <row r="372" spans="1:13" x14ac:dyDescent="0.3">
      <c r="A372" t="s">
        <v>1153</v>
      </c>
      <c r="B372" t="s">
        <v>629</v>
      </c>
      <c r="C372" t="s">
        <v>635</v>
      </c>
      <c r="D372">
        <v>0</v>
      </c>
      <c r="E372" t="s">
        <v>631</v>
      </c>
      <c r="F372" t="s">
        <v>630</v>
      </c>
      <c r="G372">
        <v>2130</v>
      </c>
      <c r="H372">
        <v>6666</v>
      </c>
      <c r="I372">
        <v>70</v>
      </c>
      <c r="J372">
        <v>180</v>
      </c>
      <c r="K372">
        <v>1</v>
      </c>
      <c r="L372" t="s">
        <v>646</v>
      </c>
      <c r="M372" t="s">
        <v>637</v>
      </c>
    </row>
    <row r="373" spans="1:13" x14ac:dyDescent="0.3">
      <c r="A373" t="s">
        <v>1155</v>
      </c>
      <c r="B373" t="s">
        <v>629</v>
      </c>
      <c r="C373" t="s">
        <v>635</v>
      </c>
      <c r="D373" t="s">
        <v>645</v>
      </c>
      <c r="E373" t="s">
        <v>631</v>
      </c>
      <c r="F373" t="s">
        <v>630</v>
      </c>
      <c r="G373">
        <v>3466</v>
      </c>
      <c r="H373">
        <v>3428</v>
      </c>
      <c r="I373">
        <v>150</v>
      </c>
      <c r="J373">
        <v>360</v>
      </c>
      <c r="K373">
        <v>1</v>
      </c>
      <c r="L373" t="s">
        <v>636</v>
      </c>
      <c r="M373" t="s">
        <v>633</v>
      </c>
    </row>
    <row r="374" spans="1:13" x14ac:dyDescent="0.3">
      <c r="A374" t="s">
        <v>1156</v>
      </c>
      <c r="B374" t="s">
        <v>657</v>
      </c>
      <c r="C374" t="s">
        <v>635</v>
      </c>
      <c r="D374">
        <v>2</v>
      </c>
      <c r="E374" t="s">
        <v>631</v>
      </c>
      <c r="F374" t="s">
        <v>630</v>
      </c>
      <c r="G374">
        <v>2031</v>
      </c>
      <c r="H374">
        <v>1632</v>
      </c>
      <c r="I374">
        <v>113</v>
      </c>
      <c r="J374">
        <v>480</v>
      </c>
      <c r="K374">
        <v>1</v>
      </c>
      <c r="L374" t="s">
        <v>646</v>
      </c>
      <c r="M374" t="s">
        <v>633</v>
      </c>
    </row>
    <row r="375" spans="1:13" x14ac:dyDescent="0.3">
      <c r="A375" t="s">
        <v>1158</v>
      </c>
      <c r="B375" t="s">
        <v>629</v>
      </c>
      <c r="C375" t="s">
        <v>630</v>
      </c>
      <c r="D375">
        <v>0</v>
      </c>
      <c r="E375" t="s">
        <v>631</v>
      </c>
      <c r="F375" t="s">
        <v>630</v>
      </c>
      <c r="G375">
        <v>4683</v>
      </c>
      <c r="H375">
        <v>1915</v>
      </c>
      <c r="I375">
        <v>185</v>
      </c>
      <c r="J375">
        <v>360</v>
      </c>
      <c r="K375">
        <v>1</v>
      </c>
      <c r="L375" t="s">
        <v>646</v>
      </c>
      <c r="M375" t="s">
        <v>637</v>
      </c>
    </row>
    <row r="376" spans="1:13" x14ac:dyDescent="0.3">
      <c r="A376" t="s">
        <v>1159</v>
      </c>
      <c r="B376" t="s">
        <v>657</v>
      </c>
      <c r="C376" t="s">
        <v>630</v>
      </c>
      <c r="D376">
        <v>0</v>
      </c>
      <c r="E376" t="s">
        <v>640</v>
      </c>
      <c r="F376" t="s">
        <v>630</v>
      </c>
      <c r="G376">
        <v>3400</v>
      </c>
      <c r="H376">
        <v>0</v>
      </c>
      <c r="I376">
        <v>95</v>
      </c>
      <c r="J376">
        <v>360</v>
      </c>
      <c r="K376">
        <v>1</v>
      </c>
      <c r="L376" t="s">
        <v>636</v>
      </c>
      <c r="M376" t="s">
        <v>637</v>
      </c>
    </row>
    <row r="377" spans="1:13" x14ac:dyDescent="0.3">
      <c r="A377" t="s">
        <v>1160</v>
      </c>
      <c r="B377" t="s">
        <v>629</v>
      </c>
      <c r="C377" t="s">
        <v>635</v>
      </c>
      <c r="D377">
        <v>2</v>
      </c>
      <c r="E377" t="s">
        <v>640</v>
      </c>
      <c r="F377" t="s">
        <v>630</v>
      </c>
      <c r="G377">
        <v>2192</v>
      </c>
      <c r="H377">
        <v>1742</v>
      </c>
      <c r="I377">
        <v>45</v>
      </c>
      <c r="J377">
        <v>360</v>
      </c>
      <c r="K377">
        <v>1</v>
      </c>
      <c r="L377" t="s">
        <v>646</v>
      </c>
      <c r="M377" t="s">
        <v>633</v>
      </c>
    </row>
    <row r="378" spans="1:13" x14ac:dyDescent="0.3">
      <c r="A378" t="s">
        <v>1161</v>
      </c>
      <c r="B378" t="s">
        <v>629</v>
      </c>
      <c r="C378" t="s">
        <v>630</v>
      </c>
      <c r="D378">
        <v>0</v>
      </c>
      <c r="E378" t="s">
        <v>631</v>
      </c>
      <c r="F378" t="s">
        <v>630</v>
      </c>
      <c r="G378">
        <v>2500</v>
      </c>
      <c r="H378">
        <v>0</v>
      </c>
      <c r="I378">
        <v>55</v>
      </c>
      <c r="J378">
        <v>360</v>
      </c>
      <c r="K378">
        <v>1</v>
      </c>
      <c r="L378" t="s">
        <v>646</v>
      </c>
      <c r="M378" t="s">
        <v>633</v>
      </c>
    </row>
    <row r="379" spans="1:13" x14ac:dyDescent="0.3">
      <c r="A379" t="s">
        <v>1162</v>
      </c>
      <c r="B379" t="s">
        <v>629</v>
      </c>
      <c r="C379" t="s">
        <v>635</v>
      </c>
      <c r="D379" t="s">
        <v>645</v>
      </c>
      <c r="E379" t="s">
        <v>631</v>
      </c>
      <c r="F379" t="s">
        <v>635</v>
      </c>
      <c r="G379">
        <v>5677</v>
      </c>
      <c r="H379">
        <v>1424</v>
      </c>
      <c r="I379">
        <v>100</v>
      </c>
      <c r="J379">
        <v>360</v>
      </c>
      <c r="K379">
        <v>1</v>
      </c>
      <c r="L379" t="s">
        <v>636</v>
      </c>
      <c r="M379" t="s">
        <v>633</v>
      </c>
    </row>
    <row r="380" spans="1:13" x14ac:dyDescent="0.3">
      <c r="A380" t="s">
        <v>1166</v>
      </c>
      <c r="B380" t="s">
        <v>629</v>
      </c>
      <c r="C380" t="s">
        <v>635</v>
      </c>
      <c r="D380">
        <v>0</v>
      </c>
      <c r="E380" t="s">
        <v>631</v>
      </c>
      <c r="F380" t="s">
        <v>630</v>
      </c>
      <c r="G380">
        <v>3775</v>
      </c>
      <c r="H380">
        <v>0</v>
      </c>
      <c r="I380">
        <v>110</v>
      </c>
      <c r="J380">
        <v>360</v>
      </c>
      <c r="K380">
        <v>1</v>
      </c>
      <c r="L380" t="s">
        <v>646</v>
      </c>
      <c r="M380" t="s">
        <v>633</v>
      </c>
    </row>
    <row r="381" spans="1:13" x14ac:dyDescent="0.3">
      <c r="A381" t="s">
        <v>1167</v>
      </c>
      <c r="B381" t="s">
        <v>629</v>
      </c>
      <c r="C381" t="s">
        <v>635</v>
      </c>
      <c r="D381">
        <v>1</v>
      </c>
      <c r="E381" t="s">
        <v>640</v>
      </c>
      <c r="F381" t="s">
        <v>630</v>
      </c>
      <c r="G381">
        <v>5285</v>
      </c>
      <c r="H381">
        <v>1430</v>
      </c>
      <c r="I381">
        <v>161</v>
      </c>
      <c r="J381">
        <v>360</v>
      </c>
      <c r="K381">
        <v>0</v>
      </c>
      <c r="L381" t="s">
        <v>646</v>
      </c>
      <c r="M381" t="s">
        <v>633</v>
      </c>
    </row>
    <row r="382" spans="1:13" x14ac:dyDescent="0.3">
      <c r="A382" t="s">
        <v>1168</v>
      </c>
      <c r="B382" t="s">
        <v>629</v>
      </c>
      <c r="C382" t="s">
        <v>630</v>
      </c>
      <c r="D382">
        <v>1</v>
      </c>
      <c r="E382" t="s">
        <v>640</v>
      </c>
      <c r="F382" t="s">
        <v>630</v>
      </c>
      <c r="G382">
        <v>2679</v>
      </c>
      <c r="H382">
        <v>1302</v>
      </c>
      <c r="I382">
        <v>94</v>
      </c>
      <c r="J382">
        <v>360</v>
      </c>
      <c r="K382">
        <v>1</v>
      </c>
      <c r="L382" t="s">
        <v>646</v>
      </c>
      <c r="M382" t="s">
        <v>633</v>
      </c>
    </row>
    <row r="383" spans="1:13" x14ac:dyDescent="0.3">
      <c r="A383" t="s">
        <v>1169</v>
      </c>
      <c r="B383" t="s">
        <v>629</v>
      </c>
      <c r="C383" t="s">
        <v>630</v>
      </c>
      <c r="D383">
        <v>0</v>
      </c>
      <c r="E383" t="s">
        <v>640</v>
      </c>
      <c r="F383" t="s">
        <v>630</v>
      </c>
      <c r="G383">
        <v>6783</v>
      </c>
      <c r="H383">
        <v>0</v>
      </c>
      <c r="I383">
        <v>130</v>
      </c>
      <c r="J383">
        <v>360</v>
      </c>
      <c r="K383">
        <v>1</v>
      </c>
      <c r="L383" t="s">
        <v>646</v>
      </c>
      <c r="M383" t="s">
        <v>633</v>
      </c>
    </row>
    <row r="384" spans="1:13" x14ac:dyDescent="0.3">
      <c r="A384" t="s">
        <v>1171</v>
      </c>
      <c r="B384" t="s">
        <v>629</v>
      </c>
      <c r="C384" t="s">
        <v>635</v>
      </c>
      <c r="D384" t="s">
        <v>645</v>
      </c>
      <c r="E384" t="s">
        <v>631</v>
      </c>
      <c r="F384" t="s">
        <v>630</v>
      </c>
      <c r="G384">
        <v>4281</v>
      </c>
      <c r="H384">
        <v>0</v>
      </c>
      <c r="I384">
        <v>100</v>
      </c>
      <c r="J384">
        <v>360</v>
      </c>
      <c r="K384">
        <v>1</v>
      </c>
      <c r="L384" t="s">
        <v>632</v>
      </c>
      <c r="M384" t="s">
        <v>633</v>
      </c>
    </row>
    <row r="385" spans="1:13" x14ac:dyDescent="0.3">
      <c r="A385" t="s">
        <v>1172</v>
      </c>
      <c r="B385" t="s">
        <v>629</v>
      </c>
      <c r="C385" t="s">
        <v>630</v>
      </c>
      <c r="D385">
        <v>2</v>
      </c>
      <c r="E385" t="s">
        <v>631</v>
      </c>
      <c r="F385" t="s">
        <v>630</v>
      </c>
      <c r="G385">
        <v>3588</v>
      </c>
      <c r="H385">
        <v>0</v>
      </c>
      <c r="I385">
        <v>110</v>
      </c>
      <c r="J385">
        <v>360</v>
      </c>
      <c r="K385">
        <v>0</v>
      </c>
      <c r="L385" t="s">
        <v>636</v>
      </c>
      <c r="M385" t="s">
        <v>637</v>
      </c>
    </row>
    <row r="386" spans="1:13" x14ac:dyDescent="0.3">
      <c r="A386" t="s">
        <v>1174</v>
      </c>
      <c r="B386" t="s">
        <v>657</v>
      </c>
      <c r="C386" t="s">
        <v>630</v>
      </c>
      <c r="D386">
        <v>0</v>
      </c>
      <c r="E386" t="s">
        <v>640</v>
      </c>
      <c r="F386" t="s">
        <v>635</v>
      </c>
      <c r="G386">
        <v>18165</v>
      </c>
      <c r="H386">
        <v>0</v>
      </c>
      <c r="I386">
        <v>125</v>
      </c>
      <c r="J386">
        <v>360</v>
      </c>
      <c r="K386">
        <v>1</v>
      </c>
      <c r="L386" t="s">
        <v>632</v>
      </c>
      <c r="M386" t="s">
        <v>633</v>
      </c>
    </row>
    <row r="387" spans="1:13" x14ac:dyDescent="0.3">
      <c r="A387" t="s">
        <v>1177</v>
      </c>
      <c r="B387" t="s">
        <v>629</v>
      </c>
      <c r="C387" t="s">
        <v>630</v>
      </c>
      <c r="D387">
        <v>2</v>
      </c>
      <c r="E387" t="s">
        <v>631</v>
      </c>
      <c r="F387" t="s">
        <v>630</v>
      </c>
      <c r="G387">
        <v>3617</v>
      </c>
      <c r="H387">
        <v>0</v>
      </c>
      <c r="I387">
        <v>107</v>
      </c>
      <c r="J387">
        <v>360</v>
      </c>
      <c r="K387">
        <v>1</v>
      </c>
      <c r="L387" t="s">
        <v>646</v>
      </c>
      <c r="M387" t="s">
        <v>633</v>
      </c>
    </row>
    <row r="388" spans="1:13" x14ac:dyDescent="0.3">
      <c r="A388" t="s">
        <v>1178</v>
      </c>
      <c r="B388" t="s">
        <v>629</v>
      </c>
      <c r="C388" t="s">
        <v>635</v>
      </c>
      <c r="D388">
        <v>0</v>
      </c>
      <c r="E388" t="s">
        <v>640</v>
      </c>
      <c r="F388" t="s">
        <v>630</v>
      </c>
      <c r="G388">
        <v>2917</v>
      </c>
      <c r="H388">
        <v>536</v>
      </c>
      <c r="I388">
        <v>66</v>
      </c>
      <c r="J388">
        <v>360</v>
      </c>
      <c r="K388">
        <v>1</v>
      </c>
      <c r="L388" t="s">
        <v>636</v>
      </c>
      <c r="M388" t="s">
        <v>637</v>
      </c>
    </row>
    <row r="389" spans="1:13" x14ac:dyDescent="0.3">
      <c r="A389" t="s">
        <v>1179</v>
      </c>
      <c r="B389" t="s">
        <v>629</v>
      </c>
      <c r="C389" t="s">
        <v>635</v>
      </c>
      <c r="D389" t="s">
        <v>645</v>
      </c>
      <c r="E389" t="s">
        <v>631</v>
      </c>
      <c r="F389" t="s">
        <v>630</v>
      </c>
      <c r="G389">
        <v>6417</v>
      </c>
      <c r="H389">
        <v>0</v>
      </c>
      <c r="I389">
        <v>157</v>
      </c>
      <c r="J389">
        <v>180</v>
      </c>
      <c r="K389">
        <v>1</v>
      </c>
      <c r="L389" t="s">
        <v>636</v>
      </c>
      <c r="M389" t="s">
        <v>633</v>
      </c>
    </row>
    <row r="390" spans="1:13" x14ac:dyDescent="0.3">
      <c r="A390" t="s">
        <v>1180</v>
      </c>
      <c r="B390" t="s">
        <v>657</v>
      </c>
      <c r="C390" t="s">
        <v>635</v>
      </c>
      <c r="D390">
        <v>1</v>
      </c>
      <c r="E390" t="s">
        <v>631</v>
      </c>
      <c r="F390" t="s">
        <v>630</v>
      </c>
      <c r="G390">
        <v>4608</v>
      </c>
      <c r="H390">
        <v>2845</v>
      </c>
      <c r="I390">
        <v>140</v>
      </c>
      <c r="J390">
        <v>180</v>
      </c>
      <c r="K390">
        <v>1</v>
      </c>
      <c r="L390" t="s">
        <v>646</v>
      </c>
      <c r="M390" t="s">
        <v>633</v>
      </c>
    </row>
    <row r="391" spans="1:13" x14ac:dyDescent="0.3">
      <c r="A391" t="s">
        <v>1181</v>
      </c>
      <c r="B391" t="s">
        <v>657</v>
      </c>
      <c r="C391" t="s">
        <v>630</v>
      </c>
      <c r="D391">
        <v>0</v>
      </c>
      <c r="E391" t="s">
        <v>631</v>
      </c>
      <c r="F391" t="s">
        <v>630</v>
      </c>
      <c r="G391">
        <v>2138</v>
      </c>
      <c r="H391">
        <v>0</v>
      </c>
      <c r="I391">
        <v>99</v>
      </c>
      <c r="J391">
        <v>360</v>
      </c>
      <c r="K391">
        <v>0</v>
      </c>
      <c r="L391" t="s">
        <v>646</v>
      </c>
      <c r="M391" t="s">
        <v>637</v>
      </c>
    </row>
    <row r="392" spans="1:13" x14ac:dyDescent="0.3">
      <c r="A392" t="s">
        <v>1183</v>
      </c>
      <c r="B392" t="s">
        <v>629</v>
      </c>
      <c r="C392" t="s">
        <v>635</v>
      </c>
      <c r="D392">
        <v>1</v>
      </c>
      <c r="E392" t="s">
        <v>640</v>
      </c>
      <c r="F392" t="s">
        <v>630</v>
      </c>
      <c r="G392">
        <v>2239</v>
      </c>
      <c r="H392">
        <v>2524</v>
      </c>
      <c r="I392">
        <v>128</v>
      </c>
      <c r="J392">
        <v>360</v>
      </c>
      <c r="K392">
        <v>1</v>
      </c>
      <c r="L392" t="s">
        <v>632</v>
      </c>
      <c r="M392" t="s">
        <v>633</v>
      </c>
    </row>
    <row r="393" spans="1:13" x14ac:dyDescent="0.3">
      <c r="A393" t="s">
        <v>1185</v>
      </c>
      <c r="B393" t="s">
        <v>629</v>
      </c>
      <c r="C393" t="s">
        <v>635</v>
      </c>
      <c r="D393">
        <v>0</v>
      </c>
      <c r="E393" t="s">
        <v>631</v>
      </c>
      <c r="F393" t="s">
        <v>630</v>
      </c>
      <c r="G393">
        <v>2768</v>
      </c>
      <c r="H393">
        <v>1950</v>
      </c>
      <c r="I393">
        <v>155</v>
      </c>
      <c r="J393">
        <v>360</v>
      </c>
      <c r="K393">
        <v>1</v>
      </c>
      <c r="L393" t="s">
        <v>636</v>
      </c>
      <c r="M393" t="s">
        <v>633</v>
      </c>
    </row>
    <row r="394" spans="1:13" x14ac:dyDescent="0.3">
      <c r="A394" t="s">
        <v>1186</v>
      </c>
      <c r="B394" t="s">
        <v>629</v>
      </c>
      <c r="C394" t="s">
        <v>630</v>
      </c>
      <c r="D394">
        <v>0</v>
      </c>
      <c r="E394" t="s">
        <v>640</v>
      </c>
      <c r="F394" t="s">
        <v>630</v>
      </c>
      <c r="G394">
        <v>3358</v>
      </c>
      <c r="H394">
        <v>0</v>
      </c>
      <c r="I394">
        <v>80</v>
      </c>
      <c r="J394">
        <v>36</v>
      </c>
      <c r="K394">
        <v>1</v>
      </c>
      <c r="L394" t="s">
        <v>646</v>
      </c>
      <c r="M394" t="s">
        <v>637</v>
      </c>
    </row>
    <row r="395" spans="1:13" x14ac:dyDescent="0.3">
      <c r="A395" t="s">
        <v>1187</v>
      </c>
      <c r="B395" t="s">
        <v>629</v>
      </c>
      <c r="C395" t="s">
        <v>630</v>
      </c>
      <c r="D395">
        <v>0</v>
      </c>
      <c r="E395" t="s">
        <v>631</v>
      </c>
      <c r="F395" t="s">
        <v>630</v>
      </c>
      <c r="G395">
        <v>2526</v>
      </c>
      <c r="H395">
        <v>1783</v>
      </c>
      <c r="I395">
        <v>145</v>
      </c>
      <c r="J395">
        <v>360</v>
      </c>
      <c r="K395">
        <v>1</v>
      </c>
      <c r="L395" t="s">
        <v>636</v>
      </c>
      <c r="M395" t="s">
        <v>633</v>
      </c>
    </row>
    <row r="396" spans="1:13" x14ac:dyDescent="0.3">
      <c r="A396" t="s">
        <v>1188</v>
      </c>
      <c r="B396" t="s">
        <v>657</v>
      </c>
      <c r="C396" t="s">
        <v>630</v>
      </c>
      <c r="D396">
        <v>0</v>
      </c>
      <c r="E396" t="s">
        <v>631</v>
      </c>
      <c r="F396" t="s">
        <v>630</v>
      </c>
      <c r="G396">
        <v>5000</v>
      </c>
      <c r="H396">
        <v>0</v>
      </c>
      <c r="I396">
        <v>103</v>
      </c>
      <c r="J396">
        <v>360</v>
      </c>
      <c r="K396">
        <v>0</v>
      </c>
      <c r="L396" t="s">
        <v>646</v>
      </c>
      <c r="M396" t="s">
        <v>637</v>
      </c>
    </row>
    <row r="397" spans="1:13" x14ac:dyDescent="0.3">
      <c r="A397" t="s">
        <v>1189</v>
      </c>
      <c r="B397" t="s">
        <v>629</v>
      </c>
      <c r="C397" t="s">
        <v>635</v>
      </c>
      <c r="D397">
        <v>0</v>
      </c>
      <c r="E397" t="s">
        <v>631</v>
      </c>
      <c r="F397" t="s">
        <v>630</v>
      </c>
      <c r="G397">
        <v>2785</v>
      </c>
      <c r="H397">
        <v>2016</v>
      </c>
      <c r="I397">
        <v>110</v>
      </c>
      <c r="J397">
        <v>360</v>
      </c>
      <c r="K397">
        <v>1</v>
      </c>
      <c r="L397" t="s">
        <v>636</v>
      </c>
      <c r="M397" t="s">
        <v>633</v>
      </c>
    </row>
    <row r="398" spans="1:13" x14ac:dyDescent="0.3">
      <c r="A398" t="s">
        <v>1192</v>
      </c>
      <c r="B398" t="s">
        <v>629</v>
      </c>
      <c r="C398" t="s">
        <v>635</v>
      </c>
      <c r="D398">
        <v>1</v>
      </c>
      <c r="E398" t="s">
        <v>631</v>
      </c>
      <c r="F398" t="s">
        <v>630</v>
      </c>
      <c r="G398">
        <v>3333</v>
      </c>
      <c r="H398">
        <v>3250</v>
      </c>
      <c r="I398">
        <v>158</v>
      </c>
      <c r="J398">
        <v>360</v>
      </c>
      <c r="K398">
        <v>1</v>
      </c>
      <c r="L398" t="s">
        <v>632</v>
      </c>
      <c r="M398" t="s">
        <v>633</v>
      </c>
    </row>
    <row r="399" spans="1:13" x14ac:dyDescent="0.3">
      <c r="A399" t="s">
        <v>1193</v>
      </c>
      <c r="B399" t="s">
        <v>629</v>
      </c>
      <c r="C399" t="s">
        <v>635</v>
      </c>
      <c r="D399">
        <v>0</v>
      </c>
      <c r="E399" t="s">
        <v>640</v>
      </c>
      <c r="F399" t="s">
        <v>630</v>
      </c>
      <c r="G399">
        <v>2454</v>
      </c>
      <c r="H399">
        <v>2333</v>
      </c>
      <c r="I399">
        <v>181</v>
      </c>
      <c r="J399">
        <v>360</v>
      </c>
      <c r="K399">
        <v>0</v>
      </c>
      <c r="L399" t="s">
        <v>632</v>
      </c>
      <c r="M399" t="s">
        <v>637</v>
      </c>
    </row>
    <row r="400" spans="1:13" x14ac:dyDescent="0.3">
      <c r="A400" t="s">
        <v>1194</v>
      </c>
      <c r="B400" t="s">
        <v>629</v>
      </c>
      <c r="C400" t="s">
        <v>635</v>
      </c>
      <c r="D400">
        <v>0</v>
      </c>
      <c r="E400" t="s">
        <v>631</v>
      </c>
      <c r="F400" t="s">
        <v>630</v>
      </c>
      <c r="G400">
        <v>3593</v>
      </c>
      <c r="H400">
        <v>4266</v>
      </c>
      <c r="I400">
        <v>132</v>
      </c>
      <c r="J400">
        <v>180</v>
      </c>
      <c r="K400">
        <v>0</v>
      </c>
      <c r="L400" t="s">
        <v>636</v>
      </c>
      <c r="M400" t="s">
        <v>637</v>
      </c>
    </row>
    <row r="401" spans="1:13" x14ac:dyDescent="0.3">
      <c r="A401" t="s">
        <v>1195</v>
      </c>
      <c r="B401" t="s">
        <v>629</v>
      </c>
      <c r="C401" t="s">
        <v>635</v>
      </c>
      <c r="D401">
        <v>1</v>
      </c>
      <c r="E401" t="s">
        <v>631</v>
      </c>
      <c r="F401" t="s">
        <v>630</v>
      </c>
      <c r="G401">
        <v>5468</v>
      </c>
      <c r="H401">
        <v>1032</v>
      </c>
      <c r="I401">
        <v>26</v>
      </c>
      <c r="J401">
        <v>360</v>
      </c>
      <c r="K401">
        <v>1</v>
      </c>
      <c r="L401" t="s">
        <v>646</v>
      </c>
      <c r="M401" t="s">
        <v>633</v>
      </c>
    </row>
    <row r="402" spans="1:13" x14ac:dyDescent="0.3">
      <c r="A402" t="s">
        <v>1197</v>
      </c>
      <c r="B402" t="s">
        <v>629</v>
      </c>
      <c r="C402" t="s">
        <v>635</v>
      </c>
      <c r="D402" t="s">
        <v>645</v>
      </c>
      <c r="E402" t="s">
        <v>631</v>
      </c>
      <c r="F402" t="s">
        <v>635</v>
      </c>
      <c r="G402">
        <v>10139</v>
      </c>
      <c r="H402">
        <v>0</v>
      </c>
      <c r="I402">
        <v>260</v>
      </c>
      <c r="J402">
        <v>360</v>
      </c>
      <c r="K402">
        <v>1</v>
      </c>
      <c r="L402" t="s">
        <v>646</v>
      </c>
      <c r="M402" t="s">
        <v>633</v>
      </c>
    </row>
    <row r="403" spans="1:13" x14ac:dyDescent="0.3">
      <c r="A403" t="s">
        <v>1198</v>
      </c>
      <c r="B403" t="s">
        <v>629</v>
      </c>
      <c r="C403" t="s">
        <v>635</v>
      </c>
      <c r="D403">
        <v>0</v>
      </c>
      <c r="E403" t="s">
        <v>631</v>
      </c>
      <c r="F403" t="s">
        <v>630</v>
      </c>
      <c r="G403">
        <v>3887</v>
      </c>
      <c r="H403">
        <v>2669</v>
      </c>
      <c r="I403">
        <v>162</v>
      </c>
      <c r="J403">
        <v>360</v>
      </c>
      <c r="K403">
        <v>1</v>
      </c>
      <c r="L403" t="s">
        <v>646</v>
      </c>
      <c r="M403" t="s">
        <v>633</v>
      </c>
    </row>
    <row r="404" spans="1:13" x14ac:dyDescent="0.3">
      <c r="A404" t="s">
        <v>1199</v>
      </c>
      <c r="B404" t="s">
        <v>657</v>
      </c>
      <c r="C404" t="s">
        <v>635</v>
      </c>
      <c r="D404">
        <v>0</v>
      </c>
      <c r="E404" t="s">
        <v>631</v>
      </c>
      <c r="F404" t="s">
        <v>630</v>
      </c>
      <c r="G404">
        <v>4180</v>
      </c>
      <c r="H404">
        <v>2306</v>
      </c>
      <c r="I404">
        <v>182</v>
      </c>
      <c r="J404">
        <v>360</v>
      </c>
      <c r="K404">
        <v>1</v>
      </c>
      <c r="L404" t="s">
        <v>646</v>
      </c>
      <c r="M404" t="s">
        <v>633</v>
      </c>
    </row>
    <row r="405" spans="1:13" x14ac:dyDescent="0.3">
      <c r="A405" t="s">
        <v>1200</v>
      </c>
      <c r="B405" t="s">
        <v>629</v>
      </c>
      <c r="C405" t="s">
        <v>635</v>
      </c>
      <c r="D405">
        <v>2</v>
      </c>
      <c r="E405" t="s">
        <v>640</v>
      </c>
      <c r="F405" t="s">
        <v>630</v>
      </c>
      <c r="G405">
        <v>3675</v>
      </c>
      <c r="H405">
        <v>242</v>
      </c>
      <c r="I405">
        <v>108</v>
      </c>
      <c r="J405">
        <v>360</v>
      </c>
      <c r="K405">
        <v>1</v>
      </c>
      <c r="L405" t="s">
        <v>646</v>
      </c>
      <c r="M405" t="s">
        <v>633</v>
      </c>
    </row>
    <row r="406" spans="1:13" x14ac:dyDescent="0.3">
      <c r="A406" t="s">
        <v>1202</v>
      </c>
      <c r="B406" t="s">
        <v>629</v>
      </c>
      <c r="C406" t="s">
        <v>635</v>
      </c>
      <c r="D406">
        <v>0</v>
      </c>
      <c r="E406" t="s">
        <v>631</v>
      </c>
      <c r="F406" t="s">
        <v>630</v>
      </c>
      <c r="G406">
        <v>5923</v>
      </c>
      <c r="H406">
        <v>2054</v>
      </c>
      <c r="I406">
        <v>211</v>
      </c>
      <c r="J406">
        <v>360</v>
      </c>
      <c r="K406">
        <v>1</v>
      </c>
      <c r="L406" t="s">
        <v>636</v>
      </c>
      <c r="M406" t="s">
        <v>633</v>
      </c>
    </row>
    <row r="407" spans="1:13" x14ac:dyDescent="0.3">
      <c r="A407" t="s">
        <v>1203</v>
      </c>
      <c r="B407" t="s">
        <v>629</v>
      </c>
      <c r="C407" t="s">
        <v>630</v>
      </c>
      <c r="D407">
        <v>0</v>
      </c>
      <c r="E407" t="s">
        <v>640</v>
      </c>
      <c r="F407" t="s">
        <v>635</v>
      </c>
      <c r="G407">
        <v>5800</v>
      </c>
      <c r="H407">
        <v>0</v>
      </c>
      <c r="I407">
        <v>132</v>
      </c>
      <c r="J407">
        <v>360</v>
      </c>
      <c r="K407">
        <v>1</v>
      </c>
      <c r="L407" t="s">
        <v>646</v>
      </c>
      <c r="M407" t="s">
        <v>633</v>
      </c>
    </row>
    <row r="408" spans="1:13" x14ac:dyDescent="0.3">
      <c r="A408" t="s">
        <v>1204</v>
      </c>
      <c r="B408" t="s">
        <v>629</v>
      </c>
      <c r="C408" t="s">
        <v>635</v>
      </c>
      <c r="D408">
        <v>2</v>
      </c>
      <c r="E408" t="s">
        <v>631</v>
      </c>
      <c r="F408" t="s">
        <v>630</v>
      </c>
      <c r="G408">
        <v>8799</v>
      </c>
      <c r="H408">
        <v>0</v>
      </c>
      <c r="I408">
        <v>258</v>
      </c>
      <c r="J408">
        <v>360</v>
      </c>
      <c r="K408">
        <v>0</v>
      </c>
      <c r="L408" t="s">
        <v>632</v>
      </c>
      <c r="M408" t="s">
        <v>637</v>
      </c>
    </row>
    <row r="409" spans="1:13" x14ac:dyDescent="0.3">
      <c r="A409" t="s">
        <v>1206</v>
      </c>
      <c r="B409" t="s">
        <v>629</v>
      </c>
      <c r="C409" t="s">
        <v>630</v>
      </c>
      <c r="D409">
        <v>0</v>
      </c>
      <c r="E409" t="s">
        <v>631</v>
      </c>
      <c r="F409" t="s">
        <v>630</v>
      </c>
      <c r="G409">
        <v>3333</v>
      </c>
      <c r="H409">
        <v>0</v>
      </c>
      <c r="I409">
        <v>70</v>
      </c>
      <c r="J409">
        <v>360</v>
      </c>
      <c r="K409">
        <v>1</v>
      </c>
      <c r="L409" t="s">
        <v>632</v>
      </c>
      <c r="M409" t="s">
        <v>633</v>
      </c>
    </row>
    <row r="410" spans="1:13" x14ac:dyDescent="0.3">
      <c r="A410" t="s">
        <v>1207</v>
      </c>
      <c r="B410" t="s">
        <v>629</v>
      </c>
      <c r="C410" t="s">
        <v>635</v>
      </c>
      <c r="D410" t="s">
        <v>645</v>
      </c>
      <c r="E410" t="s">
        <v>631</v>
      </c>
      <c r="F410" t="s">
        <v>630</v>
      </c>
      <c r="G410">
        <v>3400</v>
      </c>
      <c r="H410">
        <v>2500</v>
      </c>
      <c r="I410">
        <v>123</v>
      </c>
      <c r="J410">
        <v>360</v>
      </c>
      <c r="K410">
        <v>0</v>
      </c>
      <c r="L410" t="s">
        <v>636</v>
      </c>
      <c r="M410" t="s">
        <v>637</v>
      </c>
    </row>
    <row r="411" spans="1:13" x14ac:dyDescent="0.3">
      <c r="A411" t="s">
        <v>1208</v>
      </c>
      <c r="B411" t="s">
        <v>657</v>
      </c>
      <c r="C411" t="s">
        <v>630</v>
      </c>
      <c r="D411">
        <v>0</v>
      </c>
      <c r="E411" t="s">
        <v>631</v>
      </c>
      <c r="F411" t="s">
        <v>630</v>
      </c>
      <c r="G411">
        <v>2378</v>
      </c>
      <c r="H411">
        <v>0</v>
      </c>
      <c r="I411">
        <v>9</v>
      </c>
      <c r="J411">
        <v>360</v>
      </c>
      <c r="K411">
        <v>1</v>
      </c>
      <c r="L411" t="s">
        <v>632</v>
      </c>
      <c r="M411" t="s">
        <v>637</v>
      </c>
    </row>
    <row r="412" spans="1:13" x14ac:dyDescent="0.3">
      <c r="A412" t="s">
        <v>1209</v>
      </c>
      <c r="B412" t="s">
        <v>629</v>
      </c>
      <c r="C412" t="s">
        <v>635</v>
      </c>
      <c r="D412">
        <v>0</v>
      </c>
      <c r="E412" t="s">
        <v>631</v>
      </c>
      <c r="F412" t="s">
        <v>630</v>
      </c>
      <c r="G412">
        <v>3166</v>
      </c>
      <c r="H412">
        <v>2064</v>
      </c>
      <c r="I412">
        <v>104</v>
      </c>
      <c r="J412">
        <v>360</v>
      </c>
      <c r="K412">
        <v>0</v>
      </c>
      <c r="L412" t="s">
        <v>632</v>
      </c>
      <c r="M412" t="s">
        <v>637</v>
      </c>
    </row>
    <row r="413" spans="1:13" x14ac:dyDescent="0.3">
      <c r="A413" t="s">
        <v>1210</v>
      </c>
      <c r="B413" t="s">
        <v>629</v>
      </c>
      <c r="C413" t="s">
        <v>635</v>
      </c>
      <c r="D413">
        <v>1</v>
      </c>
      <c r="E413" t="s">
        <v>631</v>
      </c>
      <c r="F413" t="s">
        <v>630</v>
      </c>
      <c r="G413">
        <v>3417</v>
      </c>
      <c r="H413">
        <v>1750</v>
      </c>
      <c r="I413">
        <v>186</v>
      </c>
      <c r="J413">
        <v>360</v>
      </c>
      <c r="K413">
        <v>1</v>
      </c>
      <c r="L413" t="s">
        <v>632</v>
      </c>
      <c r="M413" t="s">
        <v>633</v>
      </c>
    </row>
    <row r="414" spans="1:13" x14ac:dyDescent="0.3">
      <c r="A414" t="s">
        <v>1212</v>
      </c>
      <c r="B414" t="s">
        <v>629</v>
      </c>
      <c r="C414" t="s">
        <v>635</v>
      </c>
      <c r="D414">
        <v>2</v>
      </c>
      <c r="E414" t="s">
        <v>631</v>
      </c>
      <c r="F414" t="s">
        <v>630</v>
      </c>
      <c r="G414">
        <v>16666</v>
      </c>
      <c r="H414">
        <v>0</v>
      </c>
      <c r="I414">
        <v>275</v>
      </c>
      <c r="J414">
        <v>360</v>
      </c>
      <c r="K414">
        <v>1</v>
      </c>
      <c r="L414" t="s">
        <v>632</v>
      </c>
      <c r="M414" t="s">
        <v>633</v>
      </c>
    </row>
    <row r="415" spans="1:13" x14ac:dyDescent="0.3">
      <c r="A415" t="s">
        <v>1213</v>
      </c>
      <c r="B415" t="s">
        <v>629</v>
      </c>
      <c r="C415" t="s">
        <v>635</v>
      </c>
      <c r="D415">
        <v>2</v>
      </c>
      <c r="E415" t="s">
        <v>640</v>
      </c>
      <c r="F415" t="s">
        <v>630</v>
      </c>
      <c r="G415">
        <v>6125</v>
      </c>
      <c r="H415">
        <v>1625</v>
      </c>
      <c r="I415">
        <v>187</v>
      </c>
      <c r="J415">
        <v>480</v>
      </c>
      <c r="K415">
        <v>1</v>
      </c>
      <c r="L415" t="s">
        <v>646</v>
      </c>
      <c r="M415" t="s">
        <v>637</v>
      </c>
    </row>
    <row r="416" spans="1:13" x14ac:dyDescent="0.3">
      <c r="A416" t="s">
        <v>1214</v>
      </c>
      <c r="B416" t="s">
        <v>629</v>
      </c>
      <c r="C416" t="s">
        <v>635</v>
      </c>
      <c r="D416" t="s">
        <v>645</v>
      </c>
      <c r="E416" t="s">
        <v>631</v>
      </c>
      <c r="F416" t="s">
        <v>630</v>
      </c>
      <c r="G416">
        <v>6406</v>
      </c>
      <c r="H416">
        <v>0</v>
      </c>
      <c r="I416">
        <v>150</v>
      </c>
      <c r="J416">
        <v>360</v>
      </c>
      <c r="K416">
        <v>1</v>
      </c>
      <c r="L416" t="s">
        <v>646</v>
      </c>
      <c r="M416" t="s">
        <v>637</v>
      </c>
    </row>
    <row r="417" spans="1:13" x14ac:dyDescent="0.3">
      <c r="A417" t="s">
        <v>1215</v>
      </c>
      <c r="B417" t="s">
        <v>629</v>
      </c>
      <c r="C417" t="s">
        <v>635</v>
      </c>
      <c r="D417">
        <v>2</v>
      </c>
      <c r="E417" t="s">
        <v>631</v>
      </c>
      <c r="F417" t="s">
        <v>630</v>
      </c>
      <c r="G417">
        <v>3159</v>
      </c>
      <c r="H417">
        <v>461</v>
      </c>
      <c r="I417">
        <v>108</v>
      </c>
      <c r="J417">
        <v>84</v>
      </c>
      <c r="K417">
        <v>1</v>
      </c>
      <c r="L417" t="s">
        <v>632</v>
      </c>
      <c r="M417" t="s">
        <v>633</v>
      </c>
    </row>
    <row r="418" spans="1:13" x14ac:dyDescent="0.3">
      <c r="A418" t="s">
        <v>1217</v>
      </c>
      <c r="B418" t="s">
        <v>629</v>
      </c>
      <c r="C418" t="s">
        <v>630</v>
      </c>
      <c r="D418">
        <v>0</v>
      </c>
      <c r="E418" t="s">
        <v>631</v>
      </c>
      <c r="F418" t="s">
        <v>630</v>
      </c>
      <c r="G418">
        <v>3229</v>
      </c>
      <c r="H418">
        <v>2739</v>
      </c>
      <c r="I418">
        <v>110</v>
      </c>
      <c r="J418">
        <v>360</v>
      </c>
      <c r="K418">
        <v>1</v>
      </c>
      <c r="L418" t="s">
        <v>632</v>
      </c>
      <c r="M418" t="s">
        <v>633</v>
      </c>
    </row>
    <row r="419" spans="1:13" x14ac:dyDescent="0.3">
      <c r="A419" t="s">
        <v>1218</v>
      </c>
      <c r="B419" t="s">
        <v>629</v>
      </c>
      <c r="C419" t="s">
        <v>635</v>
      </c>
      <c r="D419">
        <v>1</v>
      </c>
      <c r="E419" t="s">
        <v>631</v>
      </c>
      <c r="F419" t="s">
        <v>630</v>
      </c>
      <c r="G419">
        <v>1782</v>
      </c>
      <c r="H419">
        <v>2232</v>
      </c>
      <c r="I419">
        <v>107</v>
      </c>
      <c r="J419">
        <v>360</v>
      </c>
      <c r="K419">
        <v>1</v>
      </c>
      <c r="L419" t="s">
        <v>636</v>
      </c>
      <c r="M419" t="s">
        <v>633</v>
      </c>
    </row>
    <row r="420" spans="1:13" x14ac:dyDescent="0.3">
      <c r="A420" t="s">
        <v>1220</v>
      </c>
      <c r="B420" t="s">
        <v>629</v>
      </c>
      <c r="C420" t="s">
        <v>635</v>
      </c>
      <c r="D420">
        <v>2</v>
      </c>
      <c r="E420" t="s">
        <v>631</v>
      </c>
      <c r="F420" t="s">
        <v>630</v>
      </c>
      <c r="G420">
        <v>6540</v>
      </c>
      <c r="H420">
        <v>0</v>
      </c>
      <c r="I420">
        <v>205</v>
      </c>
      <c r="J420">
        <v>360</v>
      </c>
      <c r="K420">
        <v>1</v>
      </c>
      <c r="L420" t="s">
        <v>646</v>
      </c>
      <c r="M420" t="s">
        <v>633</v>
      </c>
    </row>
    <row r="421" spans="1:13" x14ac:dyDescent="0.3">
      <c r="A421" t="s">
        <v>1221</v>
      </c>
      <c r="B421" t="s">
        <v>629</v>
      </c>
      <c r="C421" t="s">
        <v>630</v>
      </c>
      <c r="D421">
        <v>0</v>
      </c>
      <c r="E421" t="s">
        <v>631</v>
      </c>
      <c r="F421" t="s">
        <v>630</v>
      </c>
      <c r="G421">
        <v>1836</v>
      </c>
      <c r="H421">
        <v>33837</v>
      </c>
      <c r="I421">
        <v>90</v>
      </c>
      <c r="J421">
        <v>360</v>
      </c>
      <c r="K421">
        <v>1</v>
      </c>
      <c r="L421" t="s">
        <v>632</v>
      </c>
      <c r="M421" t="s">
        <v>637</v>
      </c>
    </row>
    <row r="422" spans="1:13" x14ac:dyDescent="0.3">
      <c r="A422" t="s">
        <v>1222</v>
      </c>
      <c r="B422" t="s">
        <v>657</v>
      </c>
      <c r="C422" t="s">
        <v>635</v>
      </c>
      <c r="D422">
        <v>0</v>
      </c>
      <c r="E422" t="s">
        <v>631</v>
      </c>
      <c r="F422" t="s">
        <v>630</v>
      </c>
      <c r="G422">
        <v>3166</v>
      </c>
      <c r="H422">
        <v>0</v>
      </c>
      <c r="I422">
        <v>36</v>
      </c>
      <c r="J422">
        <v>360</v>
      </c>
      <c r="K422">
        <v>1</v>
      </c>
      <c r="L422" t="s">
        <v>646</v>
      </c>
      <c r="M422" t="s">
        <v>633</v>
      </c>
    </row>
    <row r="423" spans="1:13" x14ac:dyDescent="0.3">
      <c r="A423" t="s">
        <v>1224</v>
      </c>
      <c r="B423" t="s">
        <v>629</v>
      </c>
      <c r="C423" t="s">
        <v>635</v>
      </c>
      <c r="D423">
        <v>1</v>
      </c>
      <c r="E423" t="s">
        <v>631</v>
      </c>
      <c r="F423" t="s">
        <v>630</v>
      </c>
      <c r="G423">
        <v>2787</v>
      </c>
      <c r="H423">
        <v>1917</v>
      </c>
      <c r="I423">
        <v>146</v>
      </c>
      <c r="J423">
        <v>360</v>
      </c>
      <c r="K423">
        <v>0</v>
      </c>
      <c r="L423" t="s">
        <v>636</v>
      </c>
      <c r="M423" t="s">
        <v>637</v>
      </c>
    </row>
    <row r="424" spans="1:13" x14ac:dyDescent="0.3">
      <c r="A424" t="s">
        <v>1225</v>
      </c>
      <c r="B424" t="s">
        <v>629</v>
      </c>
      <c r="C424" t="s">
        <v>635</v>
      </c>
      <c r="D424">
        <v>1</v>
      </c>
      <c r="E424" t="s">
        <v>631</v>
      </c>
      <c r="F424" t="s">
        <v>630</v>
      </c>
      <c r="G424">
        <v>4283</v>
      </c>
      <c r="H424">
        <v>3000</v>
      </c>
      <c r="I424">
        <v>172</v>
      </c>
      <c r="J424">
        <v>84</v>
      </c>
      <c r="K424">
        <v>1</v>
      </c>
      <c r="L424" t="s">
        <v>636</v>
      </c>
      <c r="M424" t="s">
        <v>637</v>
      </c>
    </row>
    <row r="425" spans="1:13" x14ac:dyDescent="0.3">
      <c r="A425" t="s">
        <v>1226</v>
      </c>
      <c r="B425" t="s">
        <v>629</v>
      </c>
      <c r="C425" t="s">
        <v>635</v>
      </c>
      <c r="D425">
        <v>0</v>
      </c>
      <c r="E425" t="s">
        <v>631</v>
      </c>
      <c r="F425" t="s">
        <v>630</v>
      </c>
      <c r="G425">
        <v>2297</v>
      </c>
      <c r="H425">
        <v>1522</v>
      </c>
      <c r="I425">
        <v>104</v>
      </c>
      <c r="J425">
        <v>360</v>
      </c>
      <c r="K425">
        <v>1</v>
      </c>
      <c r="L425" t="s">
        <v>632</v>
      </c>
      <c r="M425" t="s">
        <v>633</v>
      </c>
    </row>
    <row r="426" spans="1:13" x14ac:dyDescent="0.3">
      <c r="A426" t="s">
        <v>1227</v>
      </c>
      <c r="B426" t="s">
        <v>657</v>
      </c>
      <c r="C426" t="s">
        <v>630</v>
      </c>
      <c r="D426">
        <v>0</v>
      </c>
      <c r="E426" t="s">
        <v>640</v>
      </c>
      <c r="F426" t="s">
        <v>630</v>
      </c>
      <c r="G426">
        <v>2165</v>
      </c>
      <c r="H426">
        <v>0</v>
      </c>
      <c r="I426">
        <v>70</v>
      </c>
      <c r="J426">
        <v>360</v>
      </c>
      <c r="K426">
        <v>1</v>
      </c>
      <c r="L426" t="s">
        <v>646</v>
      </c>
      <c r="M426" t="s">
        <v>633</v>
      </c>
    </row>
    <row r="427" spans="1:13" x14ac:dyDescent="0.3">
      <c r="A427" t="s">
        <v>1229</v>
      </c>
      <c r="B427" t="s">
        <v>629</v>
      </c>
      <c r="C427" t="s">
        <v>635</v>
      </c>
      <c r="D427">
        <v>2</v>
      </c>
      <c r="E427" t="s">
        <v>631</v>
      </c>
      <c r="F427" t="s">
        <v>635</v>
      </c>
      <c r="G427">
        <v>2726</v>
      </c>
      <c r="H427">
        <v>0</v>
      </c>
      <c r="I427">
        <v>106</v>
      </c>
      <c r="J427">
        <v>360</v>
      </c>
      <c r="K427">
        <v>0</v>
      </c>
      <c r="L427" t="s">
        <v>646</v>
      </c>
      <c r="M427" t="s">
        <v>637</v>
      </c>
    </row>
    <row r="428" spans="1:13" x14ac:dyDescent="0.3">
      <c r="A428" t="s">
        <v>1230</v>
      </c>
      <c r="B428" t="s">
        <v>629</v>
      </c>
      <c r="C428" t="s">
        <v>635</v>
      </c>
      <c r="D428">
        <v>0</v>
      </c>
      <c r="E428" t="s">
        <v>631</v>
      </c>
      <c r="F428" t="s">
        <v>630</v>
      </c>
      <c r="G428">
        <v>3000</v>
      </c>
      <c r="H428">
        <v>3416</v>
      </c>
      <c r="I428">
        <v>56</v>
      </c>
      <c r="J428">
        <v>180</v>
      </c>
      <c r="K428">
        <v>1</v>
      </c>
      <c r="L428" t="s">
        <v>646</v>
      </c>
      <c r="M428" t="s">
        <v>633</v>
      </c>
    </row>
    <row r="429" spans="1:13" x14ac:dyDescent="0.3">
      <c r="A429" t="s">
        <v>1231</v>
      </c>
      <c r="B429" t="s">
        <v>629</v>
      </c>
      <c r="C429" t="s">
        <v>635</v>
      </c>
      <c r="D429">
        <v>2</v>
      </c>
      <c r="E429" t="s">
        <v>631</v>
      </c>
      <c r="F429" t="s">
        <v>635</v>
      </c>
      <c r="G429">
        <v>6000</v>
      </c>
      <c r="H429">
        <v>0</v>
      </c>
      <c r="I429">
        <v>205</v>
      </c>
      <c r="J429">
        <v>240</v>
      </c>
      <c r="K429">
        <v>1</v>
      </c>
      <c r="L429" t="s">
        <v>646</v>
      </c>
      <c r="M429" t="s">
        <v>637</v>
      </c>
    </row>
    <row r="430" spans="1:13" x14ac:dyDescent="0.3">
      <c r="A430" t="s">
        <v>1233</v>
      </c>
      <c r="B430" t="s">
        <v>629</v>
      </c>
      <c r="C430" t="s">
        <v>635</v>
      </c>
      <c r="D430">
        <v>0</v>
      </c>
      <c r="E430" t="s">
        <v>631</v>
      </c>
      <c r="F430" t="s">
        <v>630</v>
      </c>
      <c r="G430">
        <v>3859</v>
      </c>
      <c r="H430">
        <v>3300</v>
      </c>
      <c r="I430">
        <v>142</v>
      </c>
      <c r="J430">
        <v>180</v>
      </c>
      <c r="K430">
        <v>1</v>
      </c>
      <c r="L430" t="s">
        <v>636</v>
      </c>
      <c r="M430" t="s">
        <v>633</v>
      </c>
    </row>
    <row r="431" spans="1:13" x14ac:dyDescent="0.3">
      <c r="A431" t="s">
        <v>1234</v>
      </c>
      <c r="B431" t="s">
        <v>629</v>
      </c>
      <c r="C431" t="s">
        <v>635</v>
      </c>
      <c r="D431">
        <v>0</v>
      </c>
      <c r="E431" t="s">
        <v>631</v>
      </c>
      <c r="F431" t="s">
        <v>635</v>
      </c>
      <c r="G431">
        <v>16120</v>
      </c>
      <c r="H431">
        <v>0</v>
      </c>
      <c r="I431">
        <v>260</v>
      </c>
      <c r="J431">
        <v>360</v>
      </c>
      <c r="K431">
        <v>1</v>
      </c>
      <c r="L431" t="s">
        <v>632</v>
      </c>
      <c r="M431" t="s">
        <v>633</v>
      </c>
    </row>
    <row r="432" spans="1:13" x14ac:dyDescent="0.3">
      <c r="A432" t="s">
        <v>1235</v>
      </c>
      <c r="B432" t="s">
        <v>629</v>
      </c>
      <c r="C432" t="s">
        <v>630</v>
      </c>
      <c r="D432">
        <v>0</v>
      </c>
      <c r="E432" t="s">
        <v>640</v>
      </c>
      <c r="F432" t="s">
        <v>630</v>
      </c>
      <c r="G432">
        <v>3833</v>
      </c>
      <c r="H432">
        <v>0</v>
      </c>
      <c r="I432">
        <v>110</v>
      </c>
      <c r="J432">
        <v>360</v>
      </c>
      <c r="K432">
        <v>1</v>
      </c>
      <c r="L432" t="s">
        <v>636</v>
      </c>
      <c r="M432" t="s">
        <v>633</v>
      </c>
    </row>
    <row r="433" spans="1:13" x14ac:dyDescent="0.3">
      <c r="A433" t="s">
        <v>1236</v>
      </c>
      <c r="B433" t="s">
        <v>629</v>
      </c>
      <c r="C433" t="s">
        <v>635</v>
      </c>
      <c r="D433">
        <v>2</v>
      </c>
      <c r="E433" t="s">
        <v>640</v>
      </c>
      <c r="F433" t="s">
        <v>635</v>
      </c>
      <c r="G433">
        <v>6383</v>
      </c>
      <c r="H433">
        <v>1000</v>
      </c>
      <c r="I433">
        <v>187</v>
      </c>
      <c r="J433">
        <v>360</v>
      </c>
      <c r="K433">
        <v>1</v>
      </c>
      <c r="L433" t="s">
        <v>636</v>
      </c>
      <c r="M433" t="s">
        <v>637</v>
      </c>
    </row>
    <row r="434" spans="1:13" x14ac:dyDescent="0.3">
      <c r="A434" t="s">
        <v>1238</v>
      </c>
      <c r="B434" t="s">
        <v>629</v>
      </c>
      <c r="C434" t="s">
        <v>635</v>
      </c>
      <c r="D434">
        <v>0</v>
      </c>
      <c r="E434" t="s">
        <v>631</v>
      </c>
      <c r="F434" t="s">
        <v>635</v>
      </c>
      <c r="G434">
        <v>9963</v>
      </c>
      <c r="H434">
        <v>0</v>
      </c>
      <c r="I434">
        <v>180</v>
      </c>
      <c r="J434">
        <v>360</v>
      </c>
      <c r="K434">
        <v>1</v>
      </c>
      <c r="L434" t="s">
        <v>636</v>
      </c>
      <c r="M434" t="s">
        <v>633</v>
      </c>
    </row>
    <row r="435" spans="1:13" x14ac:dyDescent="0.3">
      <c r="A435" t="s">
        <v>1239</v>
      </c>
      <c r="B435" t="s">
        <v>629</v>
      </c>
      <c r="C435" t="s">
        <v>635</v>
      </c>
      <c r="D435">
        <v>2</v>
      </c>
      <c r="E435" t="s">
        <v>631</v>
      </c>
      <c r="F435" t="s">
        <v>630</v>
      </c>
      <c r="G435">
        <v>5780</v>
      </c>
      <c r="H435">
        <v>0</v>
      </c>
      <c r="I435">
        <v>192</v>
      </c>
      <c r="J435">
        <v>360</v>
      </c>
      <c r="K435">
        <v>1</v>
      </c>
      <c r="L435" t="s">
        <v>632</v>
      </c>
      <c r="M435" t="s">
        <v>633</v>
      </c>
    </row>
    <row r="436" spans="1:13" x14ac:dyDescent="0.3">
      <c r="A436" t="s">
        <v>1242</v>
      </c>
      <c r="B436" t="s">
        <v>629</v>
      </c>
      <c r="C436" t="s">
        <v>635</v>
      </c>
      <c r="D436" t="s">
        <v>645</v>
      </c>
      <c r="E436" t="s">
        <v>631</v>
      </c>
      <c r="F436" t="s">
        <v>630</v>
      </c>
      <c r="G436">
        <v>5703</v>
      </c>
      <c r="H436">
        <v>0</v>
      </c>
      <c r="I436">
        <v>128</v>
      </c>
      <c r="J436">
        <v>360</v>
      </c>
      <c r="K436">
        <v>1</v>
      </c>
      <c r="L436" t="s">
        <v>632</v>
      </c>
      <c r="M436" t="s">
        <v>633</v>
      </c>
    </row>
    <row r="437" spans="1:13" x14ac:dyDescent="0.3">
      <c r="A437" t="s">
        <v>1243</v>
      </c>
      <c r="B437" t="s">
        <v>629</v>
      </c>
      <c r="C437" t="s">
        <v>630</v>
      </c>
      <c r="D437">
        <v>0</v>
      </c>
      <c r="E437" t="s">
        <v>631</v>
      </c>
      <c r="F437" t="s">
        <v>630</v>
      </c>
      <c r="G437">
        <v>3676</v>
      </c>
      <c r="H437">
        <v>4301</v>
      </c>
      <c r="I437">
        <v>172</v>
      </c>
      <c r="J437">
        <v>360</v>
      </c>
      <c r="K437">
        <v>1</v>
      </c>
      <c r="L437" t="s">
        <v>636</v>
      </c>
      <c r="M437" t="s">
        <v>633</v>
      </c>
    </row>
    <row r="438" spans="1:13" x14ac:dyDescent="0.3">
      <c r="A438" t="s">
        <v>1246</v>
      </c>
      <c r="B438" t="s">
        <v>629</v>
      </c>
      <c r="C438" t="s">
        <v>635</v>
      </c>
      <c r="D438">
        <v>1</v>
      </c>
      <c r="E438" t="s">
        <v>631</v>
      </c>
      <c r="F438" t="s">
        <v>630</v>
      </c>
      <c r="G438">
        <v>3400</v>
      </c>
      <c r="H438">
        <v>2500</v>
      </c>
      <c r="I438">
        <v>173</v>
      </c>
      <c r="J438">
        <v>360</v>
      </c>
      <c r="K438">
        <v>1</v>
      </c>
      <c r="L438" t="s">
        <v>646</v>
      </c>
      <c r="M438" t="s">
        <v>633</v>
      </c>
    </row>
    <row r="439" spans="1:13" x14ac:dyDescent="0.3">
      <c r="A439" t="s">
        <v>1247</v>
      </c>
      <c r="B439" t="s">
        <v>629</v>
      </c>
      <c r="C439" t="s">
        <v>635</v>
      </c>
      <c r="D439">
        <v>2</v>
      </c>
      <c r="E439" t="s">
        <v>640</v>
      </c>
      <c r="F439" t="s">
        <v>630</v>
      </c>
      <c r="G439">
        <v>3987</v>
      </c>
      <c r="H439">
        <v>1411</v>
      </c>
      <c r="I439">
        <v>157</v>
      </c>
      <c r="J439">
        <v>360</v>
      </c>
      <c r="K439">
        <v>1</v>
      </c>
      <c r="L439" t="s">
        <v>636</v>
      </c>
      <c r="M439" t="s">
        <v>633</v>
      </c>
    </row>
    <row r="440" spans="1:13" x14ac:dyDescent="0.3">
      <c r="A440" t="s">
        <v>1248</v>
      </c>
      <c r="B440" t="s">
        <v>629</v>
      </c>
      <c r="C440" t="s">
        <v>635</v>
      </c>
      <c r="D440">
        <v>0</v>
      </c>
      <c r="E440" t="s">
        <v>631</v>
      </c>
      <c r="F440" t="s">
        <v>630</v>
      </c>
      <c r="G440">
        <v>3232</v>
      </c>
      <c r="H440">
        <v>1950</v>
      </c>
      <c r="I440">
        <v>108</v>
      </c>
      <c r="J440">
        <v>360</v>
      </c>
      <c r="K440">
        <v>1</v>
      </c>
      <c r="L440" t="s">
        <v>636</v>
      </c>
      <c r="M440" t="s">
        <v>633</v>
      </c>
    </row>
    <row r="441" spans="1:13" x14ac:dyDescent="0.3">
      <c r="A441" t="s">
        <v>1249</v>
      </c>
      <c r="B441" t="s">
        <v>657</v>
      </c>
      <c r="C441" t="s">
        <v>630</v>
      </c>
      <c r="D441">
        <v>0</v>
      </c>
      <c r="E441" t="s">
        <v>631</v>
      </c>
      <c r="F441" t="s">
        <v>630</v>
      </c>
      <c r="G441">
        <v>2900</v>
      </c>
      <c r="H441">
        <v>0</v>
      </c>
      <c r="I441">
        <v>71</v>
      </c>
      <c r="J441">
        <v>360</v>
      </c>
      <c r="K441">
        <v>1</v>
      </c>
      <c r="L441" t="s">
        <v>636</v>
      </c>
      <c r="M441" t="s">
        <v>633</v>
      </c>
    </row>
    <row r="442" spans="1:13" x14ac:dyDescent="0.3">
      <c r="A442" t="s">
        <v>1250</v>
      </c>
      <c r="B442" t="s">
        <v>629</v>
      </c>
      <c r="C442" t="s">
        <v>635</v>
      </c>
      <c r="D442" t="s">
        <v>645</v>
      </c>
      <c r="E442" t="s">
        <v>631</v>
      </c>
      <c r="F442" t="s">
        <v>630</v>
      </c>
      <c r="G442">
        <v>4106</v>
      </c>
      <c r="H442">
        <v>0</v>
      </c>
      <c r="I442">
        <v>40</v>
      </c>
      <c r="J442">
        <v>180</v>
      </c>
      <c r="K442">
        <v>1</v>
      </c>
      <c r="L442" t="s">
        <v>636</v>
      </c>
      <c r="M442" t="s">
        <v>633</v>
      </c>
    </row>
    <row r="443" spans="1:13" x14ac:dyDescent="0.3">
      <c r="A443" t="s">
        <v>1251</v>
      </c>
      <c r="B443" t="s">
        <v>629</v>
      </c>
      <c r="C443" t="s">
        <v>635</v>
      </c>
      <c r="D443">
        <v>1</v>
      </c>
      <c r="E443" t="s">
        <v>631</v>
      </c>
      <c r="F443" t="s">
        <v>630</v>
      </c>
      <c r="G443">
        <v>8072</v>
      </c>
      <c r="H443">
        <v>240</v>
      </c>
      <c r="I443">
        <v>253</v>
      </c>
      <c r="J443">
        <v>360</v>
      </c>
      <c r="K443">
        <v>1</v>
      </c>
      <c r="L443" t="s">
        <v>632</v>
      </c>
      <c r="M443" t="s">
        <v>633</v>
      </c>
    </row>
    <row r="444" spans="1:13" x14ac:dyDescent="0.3">
      <c r="A444" t="s">
        <v>1252</v>
      </c>
      <c r="B444" t="s">
        <v>629</v>
      </c>
      <c r="C444" t="s">
        <v>635</v>
      </c>
      <c r="D444">
        <v>2</v>
      </c>
      <c r="E444" t="s">
        <v>631</v>
      </c>
      <c r="F444" t="s">
        <v>630</v>
      </c>
      <c r="G444">
        <v>7583</v>
      </c>
      <c r="H444">
        <v>0</v>
      </c>
      <c r="I444">
        <v>187</v>
      </c>
      <c r="J444">
        <v>360</v>
      </c>
      <c r="K444">
        <v>1</v>
      </c>
      <c r="L444" t="s">
        <v>632</v>
      </c>
      <c r="M444" t="s">
        <v>633</v>
      </c>
    </row>
    <row r="445" spans="1:13" x14ac:dyDescent="0.3">
      <c r="A445" t="s">
        <v>1253</v>
      </c>
      <c r="B445" t="s">
        <v>657</v>
      </c>
      <c r="C445" t="s">
        <v>630</v>
      </c>
      <c r="D445">
        <v>0</v>
      </c>
      <c r="E445" t="s">
        <v>631</v>
      </c>
      <c r="F445" t="s">
        <v>635</v>
      </c>
      <c r="G445">
        <v>4583</v>
      </c>
      <c r="H445">
        <v>0</v>
      </c>
      <c r="I445">
        <v>133</v>
      </c>
      <c r="J445">
        <v>360</v>
      </c>
      <c r="K445">
        <v>0</v>
      </c>
      <c r="L445" t="s">
        <v>646</v>
      </c>
      <c r="M445" t="s">
        <v>637</v>
      </c>
    </row>
  </sheetData>
  <autoFilter ref="A1:M445" xr:uid="{BAED450D-EE10-497F-9DE7-927149C6639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58C3-CBF3-4091-AFF2-946049EE15E8}">
  <dimension ref="A1:M445"/>
  <sheetViews>
    <sheetView topLeftCell="A414" workbookViewId="0">
      <selection activeCell="H440" sqref="A1:M445"/>
    </sheetView>
  </sheetViews>
  <sheetFormatPr defaultRowHeight="14.4" x14ac:dyDescent="0.3"/>
  <sheetData>
    <row r="1" spans="1:13" x14ac:dyDescent="0.3">
      <c r="A1" t="s">
        <v>615</v>
      </c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</row>
    <row r="2" spans="1:13" x14ac:dyDescent="0.3">
      <c r="A2" t="s">
        <v>651</v>
      </c>
      <c r="B2" t="s">
        <v>629</v>
      </c>
      <c r="C2" t="s">
        <v>635</v>
      </c>
      <c r="D2">
        <v>2</v>
      </c>
      <c r="E2" t="s">
        <v>631</v>
      </c>
      <c r="F2" t="s">
        <v>630</v>
      </c>
      <c r="G2">
        <v>3073</v>
      </c>
      <c r="H2">
        <v>8106</v>
      </c>
      <c r="I2">
        <v>200</v>
      </c>
      <c r="J2">
        <v>360</v>
      </c>
      <c r="K2">
        <v>1</v>
      </c>
      <c r="L2" t="s">
        <v>632</v>
      </c>
      <c r="M2" t="s">
        <v>633</v>
      </c>
    </row>
    <row r="3" spans="1:13" x14ac:dyDescent="0.3">
      <c r="A3" t="s">
        <v>652</v>
      </c>
      <c r="B3" t="s">
        <v>629</v>
      </c>
      <c r="C3" t="s">
        <v>630</v>
      </c>
      <c r="D3">
        <v>0</v>
      </c>
      <c r="E3" t="s">
        <v>631</v>
      </c>
      <c r="F3" t="s">
        <v>630</v>
      </c>
      <c r="G3">
        <v>1853</v>
      </c>
      <c r="H3">
        <v>2840</v>
      </c>
      <c r="I3">
        <v>114</v>
      </c>
      <c r="J3">
        <v>360</v>
      </c>
      <c r="K3">
        <v>1</v>
      </c>
      <c r="L3" t="s">
        <v>636</v>
      </c>
      <c r="M3" t="s">
        <v>637</v>
      </c>
    </row>
    <row r="4" spans="1:13" x14ac:dyDescent="0.3">
      <c r="A4" t="s">
        <v>653</v>
      </c>
      <c r="B4" t="s">
        <v>629</v>
      </c>
      <c r="C4" t="s">
        <v>635</v>
      </c>
      <c r="D4">
        <v>2</v>
      </c>
      <c r="E4" t="s">
        <v>631</v>
      </c>
      <c r="F4" t="s">
        <v>630</v>
      </c>
      <c r="G4">
        <v>1299</v>
      </c>
      <c r="H4">
        <v>1086</v>
      </c>
      <c r="I4">
        <v>17</v>
      </c>
      <c r="J4">
        <v>120</v>
      </c>
      <c r="K4">
        <v>1</v>
      </c>
      <c r="L4" t="s">
        <v>632</v>
      </c>
      <c r="M4" t="s">
        <v>633</v>
      </c>
    </row>
    <row r="5" spans="1:13" x14ac:dyDescent="0.3">
      <c r="A5" t="s">
        <v>654</v>
      </c>
      <c r="B5" t="s">
        <v>629</v>
      </c>
      <c r="C5" t="s">
        <v>630</v>
      </c>
      <c r="D5">
        <v>0</v>
      </c>
      <c r="E5" t="s">
        <v>631</v>
      </c>
      <c r="F5" t="s">
        <v>630</v>
      </c>
      <c r="G5">
        <v>4950</v>
      </c>
      <c r="H5">
        <v>0</v>
      </c>
      <c r="I5">
        <v>125</v>
      </c>
      <c r="J5">
        <v>360</v>
      </c>
      <c r="K5">
        <v>1</v>
      </c>
      <c r="L5" t="s">
        <v>632</v>
      </c>
      <c r="M5" t="s">
        <v>633</v>
      </c>
    </row>
    <row r="6" spans="1:13" x14ac:dyDescent="0.3">
      <c r="A6" t="s">
        <v>656</v>
      </c>
      <c r="B6" t="s">
        <v>657</v>
      </c>
      <c r="C6" t="s">
        <v>630</v>
      </c>
      <c r="D6">
        <v>0</v>
      </c>
      <c r="E6" t="s">
        <v>631</v>
      </c>
      <c r="F6" t="s">
        <v>630</v>
      </c>
      <c r="G6">
        <v>3510</v>
      </c>
      <c r="H6">
        <v>0</v>
      </c>
      <c r="I6">
        <v>76</v>
      </c>
      <c r="J6">
        <v>360</v>
      </c>
      <c r="K6">
        <v>0</v>
      </c>
      <c r="L6" t="s">
        <v>632</v>
      </c>
      <c r="M6" t="s">
        <v>637</v>
      </c>
    </row>
    <row r="7" spans="1:13" x14ac:dyDescent="0.3">
      <c r="A7" t="s">
        <v>658</v>
      </c>
      <c r="B7" t="s">
        <v>629</v>
      </c>
      <c r="C7" t="s">
        <v>635</v>
      </c>
      <c r="D7">
        <v>0</v>
      </c>
      <c r="E7" t="s">
        <v>640</v>
      </c>
      <c r="F7" t="s">
        <v>630</v>
      </c>
      <c r="G7">
        <v>4887</v>
      </c>
      <c r="H7">
        <v>0</v>
      </c>
      <c r="I7">
        <v>133</v>
      </c>
      <c r="J7">
        <v>360</v>
      </c>
      <c r="K7">
        <v>1</v>
      </c>
      <c r="L7" t="s">
        <v>636</v>
      </c>
      <c r="M7" t="s">
        <v>637</v>
      </c>
    </row>
    <row r="8" spans="1:13" x14ac:dyDescent="0.3">
      <c r="A8" t="s">
        <v>660</v>
      </c>
      <c r="B8" t="s">
        <v>629</v>
      </c>
      <c r="C8" t="s">
        <v>635</v>
      </c>
      <c r="D8">
        <v>0</v>
      </c>
      <c r="E8" t="s">
        <v>640</v>
      </c>
      <c r="F8" t="s">
        <v>630</v>
      </c>
      <c r="G8">
        <v>7660</v>
      </c>
      <c r="H8">
        <v>0</v>
      </c>
      <c r="I8">
        <v>104</v>
      </c>
      <c r="J8">
        <v>360</v>
      </c>
      <c r="K8">
        <v>0</v>
      </c>
      <c r="L8" t="s">
        <v>632</v>
      </c>
      <c r="M8" t="s">
        <v>637</v>
      </c>
    </row>
    <row r="9" spans="1:13" x14ac:dyDescent="0.3">
      <c r="A9" t="s">
        <v>662</v>
      </c>
      <c r="B9" t="s">
        <v>629</v>
      </c>
      <c r="C9" t="s">
        <v>635</v>
      </c>
      <c r="D9">
        <v>0</v>
      </c>
      <c r="E9" t="s">
        <v>640</v>
      </c>
      <c r="F9" t="s">
        <v>630</v>
      </c>
      <c r="G9">
        <v>2600</v>
      </c>
      <c r="H9">
        <v>1911</v>
      </c>
      <c r="I9">
        <v>116</v>
      </c>
      <c r="J9">
        <v>360</v>
      </c>
      <c r="K9">
        <v>0</v>
      </c>
      <c r="L9" t="s">
        <v>646</v>
      </c>
      <c r="M9" t="s">
        <v>637</v>
      </c>
    </row>
    <row r="10" spans="1:13" x14ac:dyDescent="0.3">
      <c r="A10" t="s">
        <v>665</v>
      </c>
      <c r="B10" t="s">
        <v>629</v>
      </c>
      <c r="C10" t="s">
        <v>635</v>
      </c>
      <c r="D10">
        <v>0</v>
      </c>
      <c r="E10" t="s">
        <v>631</v>
      </c>
      <c r="F10" t="s">
        <v>635</v>
      </c>
      <c r="G10">
        <v>9560</v>
      </c>
      <c r="H10">
        <v>0</v>
      </c>
      <c r="I10">
        <v>191</v>
      </c>
      <c r="J10">
        <v>360</v>
      </c>
      <c r="K10">
        <v>1</v>
      </c>
      <c r="L10" t="s">
        <v>646</v>
      </c>
      <c r="M10" t="s">
        <v>633</v>
      </c>
    </row>
    <row r="11" spans="1:13" x14ac:dyDescent="0.3">
      <c r="A11" t="s">
        <v>666</v>
      </c>
      <c r="B11" t="s">
        <v>629</v>
      </c>
      <c r="C11" t="s">
        <v>635</v>
      </c>
      <c r="D11">
        <v>0</v>
      </c>
      <c r="E11" t="s">
        <v>631</v>
      </c>
      <c r="F11" t="s">
        <v>630</v>
      </c>
      <c r="G11">
        <v>2799</v>
      </c>
      <c r="H11">
        <v>2253</v>
      </c>
      <c r="I11">
        <v>122</v>
      </c>
      <c r="J11">
        <v>360</v>
      </c>
      <c r="K11">
        <v>1</v>
      </c>
      <c r="L11" t="s">
        <v>646</v>
      </c>
      <c r="M11" t="s">
        <v>633</v>
      </c>
    </row>
    <row r="12" spans="1:13" x14ac:dyDescent="0.3">
      <c r="A12" t="s">
        <v>667</v>
      </c>
      <c r="B12" t="s">
        <v>629</v>
      </c>
      <c r="C12" t="s">
        <v>635</v>
      </c>
      <c r="D12">
        <v>2</v>
      </c>
      <c r="E12" t="s">
        <v>640</v>
      </c>
      <c r="F12" t="s">
        <v>630</v>
      </c>
      <c r="G12">
        <v>4226</v>
      </c>
      <c r="H12">
        <v>1040</v>
      </c>
      <c r="I12">
        <v>110</v>
      </c>
      <c r="J12">
        <v>360</v>
      </c>
      <c r="K12">
        <v>1</v>
      </c>
      <c r="L12" t="s">
        <v>632</v>
      </c>
      <c r="M12" t="s">
        <v>633</v>
      </c>
    </row>
    <row r="13" spans="1:13" x14ac:dyDescent="0.3">
      <c r="A13" t="s">
        <v>668</v>
      </c>
      <c r="B13" t="s">
        <v>629</v>
      </c>
      <c r="C13" t="s">
        <v>630</v>
      </c>
      <c r="D13">
        <v>0</v>
      </c>
      <c r="E13" t="s">
        <v>640</v>
      </c>
      <c r="F13" t="s">
        <v>630</v>
      </c>
      <c r="G13">
        <v>1442</v>
      </c>
      <c r="H13">
        <v>0</v>
      </c>
      <c r="I13">
        <v>35</v>
      </c>
      <c r="J13">
        <v>360</v>
      </c>
      <c r="K13">
        <v>1</v>
      </c>
      <c r="L13" t="s">
        <v>632</v>
      </c>
      <c r="M13" t="s">
        <v>637</v>
      </c>
    </row>
    <row r="14" spans="1:13" x14ac:dyDescent="0.3">
      <c r="A14" t="s">
        <v>671</v>
      </c>
      <c r="B14" t="s">
        <v>629</v>
      </c>
      <c r="C14" t="s">
        <v>630</v>
      </c>
      <c r="D14">
        <v>0</v>
      </c>
      <c r="E14" t="s">
        <v>631</v>
      </c>
      <c r="F14" t="s">
        <v>630</v>
      </c>
      <c r="G14">
        <v>3167</v>
      </c>
      <c r="H14">
        <v>0</v>
      </c>
      <c r="I14">
        <v>74</v>
      </c>
      <c r="J14">
        <v>360</v>
      </c>
      <c r="K14">
        <v>1</v>
      </c>
      <c r="L14" t="s">
        <v>632</v>
      </c>
      <c r="M14" t="s">
        <v>637</v>
      </c>
    </row>
    <row r="15" spans="1:13" x14ac:dyDescent="0.3">
      <c r="A15" t="s">
        <v>672</v>
      </c>
      <c r="B15" t="s">
        <v>629</v>
      </c>
      <c r="C15" t="s">
        <v>630</v>
      </c>
      <c r="D15">
        <v>1</v>
      </c>
      <c r="E15" t="s">
        <v>631</v>
      </c>
      <c r="F15" t="s">
        <v>635</v>
      </c>
      <c r="G15">
        <v>4692</v>
      </c>
      <c r="H15">
        <v>0</v>
      </c>
      <c r="I15">
        <v>106</v>
      </c>
      <c r="J15">
        <v>360</v>
      </c>
      <c r="K15">
        <v>1</v>
      </c>
      <c r="L15" t="s">
        <v>636</v>
      </c>
      <c r="M15" t="s">
        <v>637</v>
      </c>
    </row>
    <row r="16" spans="1:13" x14ac:dyDescent="0.3">
      <c r="A16" t="s">
        <v>673</v>
      </c>
      <c r="B16" t="s">
        <v>629</v>
      </c>
      <c r="C16" t="s">
        <v>635</v>
      </c>
      <c r="D16">
        <v>0</v>
      </c>
      <c r="E16" t="s">
        <v>631</v>
      </c>
      <c r="F16" t="s">
        <v>630</v>
      </c>
      <c r="G16">
        <v>3500</v>
      </c>
      <c r="H16">
        <v>1667</v>
      </c>
      <c r="I16">
        <v>114</v>
      </c>
      <c r="J16">
        <v>360</v>
      </c>
      <c r="K16">
        <v>1</v>
      </c>
      <c r="L16" t="s">
        <v>646</v>
      </c>
      <c r="M16" t="s">
        <v>633</v>
      </c>
    </row>
    <row r="17" spans="1:13" x14ac:dyDescent="0.3">
      <c r="A17" t="s">
        <v>677</v>
      </c>
      <c r="B17" t="s">
        <v>657</v>
      </c>
      <c r="C17" t="s">
        <v>635</v>
      </c>
      <c r="D17">
        <v>0</v>
      </c>
      <c r="E17" t="s">
        <v>631</v>
      </c>
      <c r="F17" t="s">
        <v>630</v>
      </c>
      <c r="G17">
        <v>3667</v>
      </c>
      <c r="H17">
        <v>1459</v>
      </c>
      <c r="I17">
        <v>144</v>
      </c>
      <c r="J17">
        <v>360</v>
      </c>
      <c r="K17">
        <v>1</v>
      </c>
      <c r="L17" t="s">
        <v>646</v>
      </c>
      <c r="M17" t="s">
        <v>633</v>
      </c>
    </row>
    <row r="18" spans="1:13" x14ac:dyDescent="0.3">
      <c r="A18" t="s">
        <v>678</v>
      </c>
      <c r="B18" t="s">
        <v>629</v>
      </c>
      <c r="C18" t="s">
        <v>630</v>
      </c>
      <c r="D18">
        <v>0</v>
      </c>
      <c r="E18" t="s">
        <v>631</v>
      </c>
      <c r="F18" t="s">
        <v>630</v>
      </c>
      <c r="G18">
        <v>4166</v>
      </c>
      <c r="H18">
        <v>7210</v>
      </c>
      <c r="I18">
        <v>184</v>
      </c>
      <c r="J18">
        <v>360</v>
      </c>
      <c r="K18">
        <v>1</v>
      </c>
      <c r="L18" t="s">
        <v>632</v>
      </c>
      <c r="M18" t="s">
        <v>633</v>
      </c>
    </row>
    <row r="19" spans="1:13" x14ac:dyDescent="0.3">
      <c r="A19" t="s">
        <v>679</v>
      </c>
      <c r="B19" t="s">
        <v>629</v>
      </c>
      <c r="C19" t="s">
        <v>630</v>
      </c>
      <c r="D19">
        <v>0</v>
      </c>
      <c r="E19" t="s">
        <v>640</v>
      </c>
      <c r="F19" t="s">
        <v>630</v>
      </c>
      <c r="G19">
        <v>3748</v>
      </c>
      <c r="H19">
        <v>1668</v>
      </c>
      <c r="I19">
        <v>110</v>
      </c>
      <c r="J19">
        <v>360</v>
      </c>
      <c r="K19">
        <v>1</v>
      </c>
      <c r="L19" t="s">
        <v>646</v>
      </c>
      <c r="M19" t="s">
        <v>633</v>
      </c>
    </row>
    <row r="20" spans="1:13" x14ac:dyDescent="0.3">
      <c r="A20" t="s">
        <v>680</v>
      </c>
      <c r="B20" t="s">
        <v>629</v>
      </c>
      <c r="C20" t="s">
        <v>630</v>
      </c>
      <c r="D20">
        <v>0</v>
      </c>
      <c r="E20" t="s">
        <v>631</v>
      </c>
      <c r="F20" t="s">
        <v>630</v>
      </c>
      <c r="G20">
        <v>3600</v>
      </c>
      <c r="H20">
        <v>0</v>
      </c>
      <c r="I20">
        <v>80</v>
      </c>
      <c r="J20">
        <v>360</v>
      </c>
      <c r="K20">
        <v>1</v>
      </c>
      <c r="L20" t="s">
        <v>632</v>
      </c>
      <c r="M20" t="s">
        <v>637</v>
      </c>
    </row>
    <row r="21" spans="1:13" x14ac:dyDescent="0.3">
      <c r="A21" t="s">
        <v>681</v>
      </c>
      <c r="B21" t="s">
        <v>629</v>
      </c>
      <c r="C21" t="s">
        <v>630</v>
      </c>
      <c r="D21">
        <v>0</v>
      </c>
      <c r="E21" t="s">
        <v>631</v>
      </c>
      <c r="F21" t="s">
        <v>630</v>
      </c>
      <c r="G21">
        <v>1800</v>
      </c>
      <c r="H21">
        <v>1213</v>
      </c>
      <c r="I21">
        <v>47</v>
      </c>
      <c r="J21">
        <v>360</v>
      </c>
      <c r="K21">
        <v>1</v>
      </c>
      <c r="L21" t="s">
        <v>632</v>
      </c>
      <c r="M21" t="s">
        <v>633</v>
      </c>
    </row>
    <row r="22" spans="1:13" x14ac:dyDescent="0.3">
      <c r="A22" t="s">
        <v>683</v>
      </c>
      <c r="B22" t="s">
        <v>629</v>
      </c>
      <c r="C22" t="s">
        <v>635</v>
      </c>
      <c r="D22">
        <v>0</v>
      </c>
      <c r="E22" t="s">
        <v>631</v>
      </c>
      <c r="F22" t="s">
        <v>630</v>
      </c>
      <c r="G22">
        <v>3941</v>
      </c>
      <c r="H22">
        <v>2336</v>
      </c>
      <c r="I22">
        <v>134</v>
      </c>
      <c r="J22">
        <v>360</v>
      </c>
      <c r="K22">
        <v>1</v>
      </c>
      <c r="L22" t="s">
        <v>646</v>
      </c>
      <c r="M22" t="s">
        <v>633</v>
      </c>
    </row>
    <row r="23" spans="1:13" x14ac:dyDescent="0.3">
      <c r="A23" t="s">
        <v>686</v>
      </c>
      <c r="B23" t="s">
        <v>629</v>
      </c>
      <c r="C23" t="s">
        <v>635</v>
      </c>
      <c r="D23">
        <v>1</v>
      </c>
      <c r="E23" t="s">
        <v>631</v>
      </c>
      <c r="F23" t="s">
        <v>630</v>
      </c>
      <c r="G23">
        <v>5649</v>
      </c>
      <c r="H23">
        <v>0</v>
      </c>
      <c r="I23">
        <v>44</v>
      </c>
      <c r="J23">
        <v>360</v>
      </c>
      <c r="K23">
        <v>1</v>
      </c>
      <c r="L23" t="s">
        <v>632</v>
      </c>
      <c r="M23" t="s">
        <v>633</v>
      </c>
    </row>
    <row r="24" spans="1:13" x14ac:dyDescent="0.3">
      <c r="A24" t="s">
        <v>687</v>
      </c>
      <c r="B24" t="s">
        <v>629</v>
      </c>
      <c r="C24" t="s">
        <v>635</v>
      </c>
      <c r="D24">
        <v>0</v>
      </c>
      <c r="E24" t="s">
        <v>631</v>
      </c>
      <c r="F24" t="s">
        <v>630</v>
      </c>
      <c r="G24">
        <v>5821</v>
      </c>
      <c r="H24">
        <v>0</v>
      </c>
      <c r="I24">
        <v>144</v>
      </c>
      <c r="J24">
        <v>360</v>
      </c>
      <c r="K24">
        <v>1</v>
      </c>
      <c r="L24" t="s">
        <v>632</v>
      </c>
      <c r="M24" t="s">
        <v>633</v>
      </c>
    </row>
    <row r="25" spans="1:13" x14ac:dyDescent="0.3">
      <c r="A25" t="s">
        <v>688</v>
      </c>
      <c r="B25" t="s">
        <v>657</v>
      </c>
      <c r="C25" t="s">
        <v>635</v>
      </c>
      <c r="D25">
        <v>0</v>
      </c>
      <c r="E25" t="s">
        <v>631</v>
      </c>
      <c r="F25" t="s">
        <v>630</v>
      </c>
      <c r="G25">
        <v>2645</v>
      </c>
      <c r="H25">
        <v>3440</v>
      </c>
      <c r="I25">
        <v>120</v>
      </c>
      <c r="J25">
        <v>360</v>
      </c>
      <c r="K25">
        <v>0</v>
      </c>
      <c r="L25" t="s">
        <v>632</v>
      </c>
      <c r="M25" t="s">
        <v>637</v>
      </c>
    </row>
    <row r="26" spans="1:13" x14ac:dyDescent="0.3">
      <c r="A26" t="s">
        <v>689</v>
      </c>
      <c r="B26" t="s">
        <v>657</v>
      </c>
      <c r="C26" t="s">
        <v>630</v>
      </c>
      <c r="D26">
        <v>0</v>
      </c>
      <c r="E26" t="s">
        <v>631</v>
      </c>
      <c r="F26" t="s">
        <v>630</v>
      </c>
      <c r="G26">
        <v>4000</v>
      </c>
      <c r="H26">
        <v>2275</v>
      </c>
      <c r="I26">
        <v>144</v>
      </c>
      <c r="J26">
        <v>360</v>
      </c>
      <c r="K26">
        <v>1</v>
      </c>
      <c r="L26" t="s">
        <v>646</v>
      </c>
      <c r="M26" t="s">
        <v>633</v>
      </c>
    </row>
    <row r="27" spans="1:13" x14ac:dyDescent="0.3">
      <c r="A27" t="s">
        <v>690</v>
      </c>
      <c r="B27" t="s">
        <v>657</v>
      </c>
      <c r="C27" t="s">
        <v>635</v>
      </c>
      <c r="D27">
        <v>0</v>
      </c>
      <c r="E27" t="s">
        <v>640</v>
      </c>
      <c r="F27" t="s">
        <v>630</v>
      </c>
      <c r="G27">
        <v>1928</v>
      </c>
      <c r="H27">
        <v>1644</v>
      </c>
      <c r="I27">
        <v>100</v>
      </c>
      <c r="J27">
        <v>360</v>
      </c>
      <c r="K27">
        <v>1</v>
      </c>
      <c r="L27" t="s">
        <v>646</v>
      </c>
      <c r="M27" t="s">
        <v>633</v>
      </c>
    </row>
    <row r="28" spans="1:13" x14ac:dyDescent="0.3">
      <c r="A28" t="s">
        <v>691</v>
      </c>
      <c r="B28" t="s">
        <v>657</v>
      </c>
      <c r="C28" t="s">
        <v>630</v>
      </c>
      <c r="D28">
        <v>0</v>
      </c>
      <c r="E28" t="s">
        <v>631</v>
      </c>
      <c r="F28" t="s">
        <v>630</v>
      </c>
      <c r="G28">
        <v>3086</v>
      </c>
      <c r="H28">
        <v>0</v>
      </c>
      <c r="I28">
        <v>120</v>
      </c>
      <c r="J28">
        <v>360</v>
      </c>
      <c r="K28">
        <v>1</v>
      </c>
      <c r="L28" t="s">
        <v>646</v>
      </c>
      <c r="M28" t="s">
        <v>633</v>
      </c>
    </row>
    <row r="29" spans="1:13" x14ac:dyDescent="0.3">
      <c r="A29" t="s">
        <v>692</v>
      </c>
      <c r="B29" t="s">
        <v>657</v>
      </c>
      <c r="C29" t="s">
        <v>630</v>
      </c>
      <c r="D29">
        <v>0</v>
      </c>
      <c r="E29" t="s">
        <v>631</v>
      </c>
      <c r="F29" t="s">
        <v>630</v>
      </c>
      <c r="G29">
        <v>4230</v>
      </c>
      <c r="H29">
        <v>0</v>
      </c>
      <c r="I29">
        <v>112</v>
      </c>
      <c r="J29">
        <v>360</v>
      </c>
      <c r="K29">
        <v>1</v>
      </c>
      <c r="L29" t="s">
        <v>646</v>
      </c>
      <c r="M29" t="s">
        <v>637</v>
      </c>
    </row>
    <row r="30" spans="1:13" x14ac:dyDescent="0.3">
      <c r="A30" t="s">
        <v>693</v>
      </c>
      <c r="B30" t="s">
        <v>629</v>
      </c>
      <c r="C30" t="s">
        <v>635</v>
      </c>
      <c r="D30">
        <v>2</v>
      </c>
      <c r="E30" t="s">
        <v>631</v>
      </c>
      <c r="F30" t="s">
        <v>630</v>
      </c>
      <c r="G30">
        <v>4616</v>
      </c>
      <c r="H30">
        <v>0</v>
      </c>
      <c r="I30">
        <v>134</v>
      </c>
      <c r="J30">
        <v>360</v>
      </c>
      <c r="K30">
        <v>1</v>
      </c>
      <c r="L30" t="s">
        <v>632</v>
      </c>
      <c r="M30" t="s">
        <v>637</v>
      </c>
    </row>
    <row r="31" spans="1:13" x14ac:dyDescent="0.3">
      <c r="A31" t="s">
        <v>695</v>
      </c>
      <c r="B31" t="s">
        <v>629</v>
      </c>
      <c r="C31" t="s">
        <v>635</v>
      </c>
      <c r="D31">
        <v>2</v>
      </c>
      <c r="E31" t="s">
        <v>631</v>
      </c>
      <c r="F31" t="s">
        <v>630</v>
      </c>
      <c r="G31">
        <v>2708</v>
      </c>
      <c r="H31">
        <v>1167</v>
      </c>
      <c r="I31">
        <v>97</v>
      </c>
      <c r="J31">
        <v>360</v>
      </c>
      <c r="K31">
        <v>1</v>
      </c>
      <c r="L31" t="s">
        <v>646</v>
      </c>
      <c r="M31" t="s">
        <v>633</v>
      </c>
    </row>
    <row r="32" spans="1:13" x14ac:dyDescent="0.3">
      <c r="A32" t="s">
        <v>696</v>
      </c>
      <c r="B32" t="s">
        <v>629</v>
      </c>
      <c r="C32" t="s">
        <v>635</v>
      </c>
      <c r="D32">
        <v>0</v>
      </c>
      <c r="E32" t="s">
        <v>631</v>
      </c>
      <c r="F32" t="s">
        <v>630</v>
      </c>
      <c r="G32">
        <v>2132</v>
      </c>
      <c r="H32">
        <v>1591</v>
      </c>
      <c r="I32">
        <v>96</v>
      </c>
      <c r="J32">
        <v>360</v>
      </c>
      <c r="K32">
        <v>1</v>
      </c>
      <c r="L32" t="s">
        <v>646</v>
      </c>
      <c r="M32" t="s">
        <v>633</v>
      </c>
    </row>
    <row r="33" spans="1:13" x14ac:dyDescent="0.3">
      <c r="A33" t="s">
        <v>697</v>
      </c>
      <c r="B33" t="s">
        <v>629</v>
      </c>
      <c r="C33" t="s">
        <v>635</v>
      </c>
      <c r="D33">
        <v>0</v>
      </c>
      <c r="E33" t="s">
        <v>631</v>
      </c>
      <c r="F33" t="s">
        <v>630</v>
      </c>
      <c r="G33">
        <v>3366</v>
      </c>
      <c r="H33">
        <v>2200</v>
      </c>
      <c r="I33">
        <v>135</v>
      </c>
      <c r="J33">
        <v>360</v>
      </c>
      <c r="K33">
        <v>1</v>
      </c>
      <c r="L33" t="s">
        <v>636</v>
      </c>
      <c r="M33" t="s">
        <v>637</v>
      </c>
    </row>
    <row r="34" spans="1:13" x14ac:dyDescent="0.3">
      <c r="A34" t="s">
        <v>698</v>
      </c>
      <c r="B34" t="s">
        <v>629</v>
      </c>
      <c r="C34" t="s">
        <v>635</v>
      </c>
      <c r="D34">
        <v>1</v>
      </c>
      <c r="E34" t="s">
        <v>631</v>
      </c>
      <c r="F34" t="s">
        <v>630</v>
      </c>
      <c r="G34">
        <v>8080</v>
      </c>
      <c r="H34">
        <v>2250</v>
      </c>
      <c r="I34">
        <v>180</v>
      </c>
      <c r="J34">
        <v>360</v>
      </c>
      <c r="K34">
        <v>1</v>
      </c>
      <c r="L34" t="s">
        <v>632</v>
      </c>
      <c r="M34" t="s">
        <v>633</v>
      </c>
    </row>
    <row r="35" spans="1:13" x14ac:dyDescent="0.3">
      <c r="A35" t="s">
        <v>699</v>
      </c>
      <c r="B35" t="s">
        <v>629</v>
      </c>
      <c r="C35" t="s">
        <v>635</v>
      </c>
      <c r="D35">
        <v>2</v>
      </c>
      <c r="E35" t="s">
        <v>640</v>
      </c>
      <c r="F35" t="s">
        <v>630</v>
      </c>
      <c r="G35">
        <v>3357</v>
      </c>
      <c r="H35">
        <v>2859</v>
      </c>
      <c r="I35">
        <v>144</v>
      </c>
      <c r="J35">
        <v>360</v>
      </c>
      <c r="K35">
        <v>1</v>
      </c>
      <c r="L35" t="s">
        <v>632</v>
      </c>
      <c r="M35" t="s">
        <v>633</v>
      </c>
    </row>
    <row r="36" spans="1:13" x14ac:dyDescent="0.3">
      <c r="A36" t="s">
        <v>700</v>
      </c>
      <c r="B36" t="s">
        <v>629</v>
      </c>
      <c r="C36" t="s">
        <v>635</v>
      </c>
      <c r="D36">
        <v>0</v>
      </c>
      <c r="E36" t="s">
        <v>631</v>
      </c>
      <c r="F36" t="s">
        <v>630</v>
      </c>
      <c r="G36">
        <v>2500</v>
      </c>
      <c r="H36">
        <v>3796</v>
      </c>
      <c r="I36">
        <v>120</v>
      </c>
      <c r="J36">
        <v>360</v>
      </c>
      <c r="K36">
        <v>1</v>
      </c>
      <c r="L36" t="s">
        <v>632</v>
      </c>
      <c r="M36" t="s">
        <v>633</v>
      </c>
    </row>
    <row r="37" spans="1:13" x14ac:dyDescent="0.3">
      <c r="A37" t="s">
        <v>701</v>
      </c>
      <c r="B37" t="s">
        <v>629</v>
      </c>
      <c r="C37" t="s">
        <v>635</v>
      </c>
      <c r="D37" t="s">
        <v>645</v>
      </c>
      <c r="E37" t="s">
        <v>631</v>
      </c>
      <c r="F37" t="s">
        <v>630</v>
      </c>
      <c r="G37">
        <v>3029</v>
      </c>
      <c r="H37">
        <v>0</v>
      </c>
      <c r="I37">
        <v>99</v>
      </c>
      <c r="J37">
        <v>360</v>
      </c>
      <c r="K37">
        <v>1</v>
      </c>
      <c r="L37" t="s">
        <v>632</v>
      </c>
      <c r="M37" t="s">
        <v>633</v>
      </c>
    </row>
    <row r="38" spans="1:13" x14ac:dyDescent="0.3">
      <c r="A38" t="s">
        <v>702</v>
      </c>
      <c r="B38" t="s">
        <v>629</v>
      </c>
      <c r="C38" t="s">
        <v>635</v>
      </c>
      <c r="D38">
        <v>0</v>
      </c>
      <c r="E38" t="s">
        <v>640</v>
      </c>
      <c r="F38" t="s">
        <v>635</v>
      </c>
      <c r="G38">
        <v>2609</v>
      </c>
      <c r="H38">
        <v>3449</v>
      </c>
      <c r="I38">
        <v>165</v>
      </c>
      <c r="J38">
        <v>180</v>
      </c>
      <c r="K38">
        <v>0</v>
      </c>
      <c r="L38" t="s">
        <v>636</v>
      </c>
      <c r="M38" t="s">
        <v>637</v>
      </c>
    </row>
    <row r="39" spans="1:13" x14ac:dyDescent="0.3">
      <c r="A39" t="s">
        <v>704</v>
      </c>
      <c r="B39" t="s">
        <v>657</v>
      </c>
      <c r="C39" t="s">
        <v>630</v>
      </c>
      <c r="D39">
        <v>0</v>
      </c>
      <c r="E39" t="s">
        <v>631</v>
      </c>
      <c r="F39" t="s">
        <v>630</v>
      </c>
      <c r="G39">
        <v>4166</v>
      </c>
      <c r="H39">
        <v>0</v>
      </c>
      <c r="I39">
        <v>116</v>
      </c>
      <c r="J39">
        <v>360</v>
      </c>
      <c r="K39">
        <v>0</v>
      </c>
      <c r="L39" t="s">
        <v>646</v>
      </c>
      <c r="M39" t="s">
        <v>637</v>
      </c>
    </row>
    <row r="40" spans="1:13" x14ac:dyDescent="0.3">
      <c r="A40" t="s">
        <v>705</v>
      </c>
      <c r="B40" t="s">
        <v>629</v>
      </c>
      <c r="C40" t="s">
        <v>635</v>
      </c>
      <c r="D40">
        <v>0</v>
      </c>
      <c r="E40" t="s">
        <v>631</v>
      </c>
      <c r="F40" t="s">
        <v>630</v>
      </c>
      <c r="G40">
        <v>5726</v>
      </c>
      <c r="H40">
        <v>4595</v>
      </c>
      <c r="I40">
        <v>258</v>
      </c>
      <c r="J40">
        <v>360</v>
      </c>
      <c r="K40">
        <v>1</v>
      </c>
      <c r="L40" t="s">
        <v>646</v>
      </c>
      <c r="M40" t="s">
        <v>637</v>
      </c>
    </row>
    <row r="41" spans="1:13" x14ac:dyDescent="0.3">
      <c r="A41" t="s">
        <v>706</v>
      </c>
      <c r="B41" t="s">
        <v>629</v>
      </c>
      <c r="C41" t="s">
        <v>630</v>
      </c>
      <c r="D41">
        <v>0</v>
      </c>
      <c r="E41" t="s">
        <v>640</v>
      </c>
      <c r="F41" t="s">
        <v>630</v>
      </c>
      <c r="G41">
        <v>3200</v>
      </c>
      <c r="H41">
        <v>2254</v>
      </c>
      <c r="I41">
        <v>126</v>
      </c>
      <c r="J41">
        <v>180</v>
      </c>
      <c r="K41">
        <v>0</v>
      </c>
      <c r="L41" t="s">
        <v>632</v>
      </c>
      <c r="M41" t="s">
        <v>637</v>
      </c>
    </row>
    <row r="42" spans="1:13" x14ac:dyDescent="0.3">
      <c r="A42" t="s">
        <v>708</v>
      </c>
      <c r="B42" t="s">
        <v>629</v>
      </c>
      <c r="C42" t="s">
        <v>635</v>
      </c>
      <c r="D42" t="s">
        <v>645</v>
      </c>
      <c r="E42" t="s">
        <v>640</v>
      </c>
      <c r="F42" t="s">
        <v>635</v>
      </c>
      <c r="G42">
        <v>7100</v>
      </c>
      <c r="H42">
        <v>0</v>
      </c>
      <c r="I42">
        <v>125</v>
      </c>
      <c r="J42">
        <v>60</v>
      </c>
      <c r="K42">
        <v>1</v>
      </c>
      <c r="L42" t="s">
        <v>632</v>
      </c>
      <c r="M42" t="s">
        <v>633</v>
      </c>
    </row>
    <row r="43" spans="1:13" x14ac:dyDescent="0.3">
      <c r="A43" t="s">
        <v>709</v>
      </c>
      <c r="B43" t="s">
        <v>657</v>
      </c>
      <c r="C43" t="s">
        <v>630</v>
      </c>
      <c r="D43">
        <v>0</v>
      </c>
      <c r="E43" t="s">
        <v>631</v>
      </c>
      <c r="F43" t="s">
        <v>630</v>
      </c>
      <c r="G43">
        <v>4300</v>
      </c>
      <c r="H43">
        <v>0</v>
      </c>
      <c r="I43">
        <v>136</v>
      </c>
      <c r="J43">
        <v>360</v>
      </c>
      <c r="K43">
        <v>0</v>
      </c>
      <c r="L43" t="s">
        <v>646</v>
      </c>
      <c r="M43" t="s">
        <v>637</v>
      </c>
    </row>
    <row r="44" spans="1:13" x14ac:dyDescent="0.3">
      <c r="A44" t="s">
        <v>710</v>
      </c>
      <c r="B44" t="s">
        <v>629</v>
      </c>
      <c r="C44" t="s">
        <v>635</v>
      </c>
      <c r="D44">
        <v>0</v>
      </c>
      <c r="E44" t="s">
        <v>631</v>
      </c>
      <c r="F44" t="s">
        <v>630</v>
      </c>
      <c r="G44">
        <v>3208</v>
      </c>
      <c r="H44">
        <v>3066</v>
      </c>
      <c r="I44">
        <v>172</v>
      </c>
      <c r="J44">
        <v>360</v>
      </c>
      <c r="K44">
        <v>1</v>
      </c>
      <c r="L44" t="s">
        <v>632</v>
      </c>
      <c r="M44" t="s">
        <v>633</v>
      </c>
    </row>
    <row r="45" spans="1:13" x14ac:dyDescent="0.3">
      <c r="A45" t="s">
        <v>711</v>
      </c>
      <c r="B45" t="s">
        <v>629</v>
      </c>
      <c r="C45" t="s">
        <v>635</v>
      </c>
      <c r="D45">
        <v>2</v>
      </c>
      <c r="E45" t="s">
        <v>640</v>
      </c>
      <c r="F45" t="s">
        <v>635</v>
      </c>
      <c r="G45">
        <v>1875</v>
      </c>
      <c r="H45">
        <v>1875</v>
      </c>
      <c r="I45">
        <v>97</v>
      </c>
      <c r="J45">
        <v>360</v>
      </c>
      <c r="K45">
        <v>1</v>
      </c>
      <c r="L45" t="s">
        <v>646</v>
      </c>
      <c r="M45" t="s">
        <v>633</v>
      </c>
    </row>
    <row r="46" spans="1:13" x14ac:dyDescent="0.3">
      <c r="A46" t="s">
        <v>712</v>
      </c>
      <c r="B46" t="s">
        <v>629</v>
      </c>
      <c r="C46" t="s">
        <v>630</v>
      </c>
      <c r="D46">
        <v>0</v>
      </c>
      <c r="E46" t="s">
        <v>631</v>
      </c>
      <c r="F46" t="s">
        <v>630</v>
      </c>
      <c r="G46">
        <v>3500</v>
      </c>
      <c r="H46">
        <v>0</v>
      </c>
      <c r="I46">
        <v>81</v>
      </c>
      <c r="J46">
        <v>300</v>
      </c>
      <c r="K46">
        <v>1</v>
      </c>
      <c r="L46" t="s">
        <v>646</v>
      </c>
      <c r="M46" t="s">
        <v>633</v>
      </c>
    </row>
    <row r="47" spans="1:13" x14ac:dyDescent="0.3">
      <c r="A47" t="s">
        <v>714</v>
      </c>
      <c r="B47" t="s">
        <v>629</v>
      </c>
      <c r="C47" t="s">
        <v>635</v>
      </c>
      <c r="D47" t="s">
        <v>645</v>
      </c>
      <c r="E47" t="s">
        <v>631</v>
      </c>
      <c r="F47" t="s">
        <v>635</v>
      </c>
      <c r="G47">
        <v>5266</v>
      </c>
      <c r="H47">
        <v>1774</v>
      </c>
      <c r="I47">
        <v>187</v>
      </c>
      <c r="J47">
        <v>360</v>
      </c>
      <c r="K47">
        <v>1</v>
      </c>
      <c r="L47" t="s">
        <v>646</v>
      </c>
      <c r="M47" t="s">
        <v>633</v>
      </c>
    </row>
    <row r="48" spans="1:13" x14ac:dyDescent="0.3">
      <c r="A48" t="s">
        <v>715</v>
      </c>
      <c r="B48" t="s">
        <v>629</v>
      </c>
      <c r="C48" t="s">
        <v>630</v>
      </c>
      <c r="D48">
        <v>0</v>
      </c>
      <c r="E48" t="s">
        <v>631</v>
      </c>
      <c r="F48" t="s">
        <v>630</v>
      </c>
      <c r="G48">
        <v>3750</v>
      </c>
      <c r="H48">
        <v>0</v>
      </c>
      <c r="I48">
        <v>113</v>
      </c>
      <c r="J48">
        <v>480</v>
      </c>
      <c r="K48">
        <v>1</v>
      </c>
      <c r="L48" t="s">
        <v>632</v>
      </c>
      <c r="M48" t="s">
        <v>637</v>
      </c>
    </row>
    <row r="49" spans="1:13" x14ac:dyDescent="0.3">
      <c r="A49" t="s">
        <v>716</v>
      </c>
      <c r="B49" t="s">
        <v>629</v>
      </c>
      <c r="C49" t="s">
        <v>630</v>
      </c>
      <c r="D49">
        <v>0</v>
      </c>
      <c r="E49" t="s">
        <v>631</v>
      </c>
      <c r="F49" t="s">
        <v>630</v>
      </c>
      <c r="G49">
        <v>3750</v>
      </c>
      <c r="H49">
        <v>4750</v>
      </c>
      <c r="I49">
        <v>176</v>
      </c>
      <c r="J49">
        <v>360</v>
      </c>
      <c r="K49">
        <v>1</v>
      </c>
      <c r="L49" t="s">
        <v>632</v>
      </c>
      <c r="M49" t="s">
        <v>637</v>
      </c>
    </row>
    <row r="50" spans="1:13" x14ac:dyDescent="0.3">
      <c r="A50" t="s">
        <v>717</v>
      </c>
      <c r="B50" t="s">
        <v>629</v>
      </c>
      <c r="C50" t="s">
        <v>635</v>
      </c>
      <c r="D50">
        <v>1</v>
      </c>
      <c r="E50" t="s">
        <v>631</v>
      </c>
      <c r="F50" t="s">
        <v>635</v>
      </c>
      <c r="G50">
        <v>1000</v>
      </c>
      <c r="H50">
        <v>3022</v>
      </c>
      <c r="I50">
        <v>110</v>
      </c>
      <c r="J50">
        <v>360</v>
      </c>
      <c r="K50">
        <v>1</v>
      </c>
      <c r="L50" t="s">
        <v>632</v>
      </c>
      <c r="M50" t="s">
        <v>637</v>
      </c>
    </row>
    <row r="51" spans="1:13" x14ac:dyDescent="0.3">
      <c r="A51" t="s">
        <v>718</v>
      </c>
      <c r="B51" t="s">
        <v>629</v>
      </c>
      <c r="C51" t="s">
        <v>635</v>
      </c>
      <c r="D51" t="s">
        <v>645</v>
      </c>
      <c r="E51" t="s">
        <v>631</v>
      </c>
      <c r="F51" t="s">
        <v>630</v>
      </c>
      <c r="G51">
        <v>3167</v>
      </c>
      <c r="H51">
        <v>4000</v>
      </c>
      <c r="I51">
        <v>180</v>
      </c>
      <c r="J51">
        <v>300</v>
      </c>
      <c r="K51">
        <v>0</v>
      </c>
      <c r="L51" t="s">
        <v>646</v>
      </c>
      <c r="M51" t="s">
        <v>637</v>
      </c>
    </row>
    <row r="52" spans="1:13" x14ac:dyDescent="0.3">
      <c r="A52" t="s">
        <v>720</v>
      </c>
      <c r="B52" t="s">
        <v>657</v>
      </c>
      <c r="C52" t="s">
        <v>630</v>
      </c>
      <c r="D52">
        <v>0</v>
      </c>
      <c r="E52" t="s">
        <v>631</v>
      </c>
      <c r="F52" t="s">
        <v>630</v>
      </c>
      <c r="G52">
        <v>3846</v>
      </c>
      <c r="H52">
        <v>0</v>
      </c>
      <c r="I52">
        <v>111</v>
      </c>
      <c r="J52">
        <v>360</v>
      </c>
      <c r="K52">
        <v>1</v>
      </c>
      <c r="L52" t="s">
        <v>646</v>
      </c>
      <c r="M52" t="s">
        <v>633</v>
      </c>
    </row>
    <row r="53" spans="1:13" x14ac:dyDescent="0.3">
      <c r="A53" t="s">
        <v>722</v>
      </c>
      <c r="B53" t="s">
        <v>657</v>
      </c>
      <c r="C53" t="s">
        <v>635</v>
      </c>
      <c r="D53">
        <v>2</v>
      </c>
      <c r="E53" t="s">
        <v>631</v>
      </c>
      <c r="F53" t="s">
        <v>630</v>
      </c>
      <c r="G53">
        <v>1378</v>
      </c>
      <c r="H53">
        <v>1881</v>
      </c>
      <c r="I53">
        <v>167</v>
      </c>
      <c r="J53">
        <v>360</v>
      </c>
      <c r="K53">
        <v>1</v>
      </c>
      <c r="L53" t="s">
        <v>632</v>
      </c>
      <c r="M53" t="s">
        <v>637</v>
      </c>
    </row>
    <row r="54" spans="1:13" x14ac:dyDescent="0.3">
      <c r="A54" t="s">
        <v>724</v>
      </c>
      <c r="B54" t="s">
        <v>629</v>
      </c>
      <c r="C54" t="s">
        <v>635</v>
      </c>
      <c r="D54">
        <v>1</v>
      </c>
      <c r="E54" t="s">
        <v>631</v>
      </c>
      <c r="F54" t="s">
        <v>630</v>
      </c>
      <c r="G54">
        <v>3988</v>
      </c>
      <c r="H54">
        <v>0</v>
      </c>
      <c r="I54">
        <v>50</v>
      </c>
      <c r="J54">
        <v>240</v>
      </c>
      <c r="K54">
        <v>1</v>
      </c>
      <c r="L54" t="s">
        <v>632</v>
      </c>
      <c r="M54" t="s">
        <v>633</v>
      </c>
    </row>
    <row r="55" spans="1:13" x14ac:dyDescent="0.3">
      <c r="A55" t="s">
        <v>725</v>
      </c>
      <c r="B55" t="s">
        <v>629</v>
      </c>
      <c r="C55" t="s">
        <v>630</v>
      </c>
      <c r="D55">
        <v>0</v>
      </c>
      <c r="E55" t="s">
        <v>631</v>
      </c>
      <c r="F55" t="s">
        <v>630</v>
      </c>
      <c r="G55">
        <v>2366</v>
      </c>
      <c r="H55">
        <v>2531</v>
      </c>
      <c r="I55">
        <v>136</v>
      </c>
      <c r="J55">
        <v>360</v>
      </c>
      <c r="K55">
        <v>1</v>
      </c>
      <c r="L55" t="s">
        <v>646</v>
      </c>
      <c r="M55" t="s">
        <v>633</v>
      </c>
    </row>
    <row r="56" spans="1:13" x14ac:dyDescent="0.3">
      <c r="A56" t="s">
        <v>727</v>
      </c>
      <c r="B56" t="s">
        <v>629</v>
      </c>
      <c r="C56" t="s">
        <v>635</v>
      </c>
      <c r="D56">
        <v>0</v>
      </c>
      <c r="E56" t="s">
        <v>631</v>
      </c>
      <c r="F56" t="s">
        <v>630</v>
      </c>
      <c r="G56">
        <v>2500</v>
      </c>
      <c r="H56">
        <v>2118</v>
      </c>
      <c r="I56">
        <v>104</v>
      </c>
      <c r="J56">
        <v>360</v>
      </c>
      <c r="K56">
        <v>1</v>
      </c>
      <c r="L56" t="s">
        <v>646</v>
      </c>
      <c r="M56" t="s">
        <v>633</v>
      </c>
    </row>
    <row r="57" spans="1:13" x14ac:dyDescent="0.3">
      <c r="A57" t="s">
        <v>728</v>
      </c>
      <c r="B57" t="s">
        <v>629</v>
      </c>
      <c r="C57" t="s">
        <v>630</v>
      </c>
      <c r="D57">
        <v>0</v>
      </c>
      <c r="E57" t="s">
        <v>631</v>
      </c>
      <c r="F57" t="s">
        <v>630</v>
      </c>
      <c r="G57">
        <v>8566</v>
      </c>
      <c r="H57">
        <v>0</v>
      </c>
      <c r="I57">
        <v>210</v>
      </c>
      <c r="J57">
        <v>360</v>
      </c>
      <c r="K57">
        <v>1</v>
      </c>
      <c r="L57" t="s">
        <v>632</v>
      </c>
      <c r="M57" t="s">
        <v>633</v>
      </c>
    </row>
    <row r="58" spans="1:13" x14ac:dyDescent="0.3">
      <c r="A58" t="s">
        <v>729</v>
      </c>
      <c r="B58" t="s">
        <v>629</v>
      </c>
      <c r="C58" t="s">
        <v>635</v>
      </c>
      <c r="D58">
        <v>0</v>
      </c>
      <c r="E58" t="s">
        <v>631</v>
      </c>
      <c r="F58" t="s">
        <v>630</v>
      </c>
      <c r="G58">
        <v>5695</v>
      </c>
      <c r="H58">
        <v>4167</v>
      </c>
      <c r="I58">
        <v>175</v>
      </c>
      <c r="J58">
        <v>360</v>
      </c>
      <c r="K58">
        <v>1</v>
      </c>
      <c r="L58" t="s">
        <v>646</v>
      </c>
      <c r="M58" t="s">
        <v>633</v>
      </c>
    </row>
    <row r="59" spans="1:13" x14ac:dyDescent="0.3">
      <c r="A59" t="s">
        <v>730</v>
      </c>
      <c r="B59" t="s">
        <v>629</v>
      </c>
      <c r="C59" t="s">
        <v>635</v>
      </c>
      <c r="D59">
        <v>0</v>
      </c>
      <c r="E59" t="s">
        <v>631</v>
      </c>
      <c r="F59" t="s">
        <v>630</v>
      </c>
      <c r="G59">
        <v>2958</v>
      </c>
      <c r="H59">
        <v>2900</v>
      </c>
      <c r="I59">
        <v>131</v>
      </c>
      <c r="J59">
        <v>360</v>
      </c>
      <c r="K59">
        <v>1</v>
      </c>
      <c r="L59" t="s">
        <v>646</v>
      </c>
      <c r="M59" t="s">
        <v>633</v>
      </c>
    </row>
    <row r="60" spans="1:13" x14ac:dyDescent="0.3">
      <c r="A60" t="s">
        <v>731</v>
      </c>
      <c r="B60" t="s">
        <v>629</v>
      </c>
      <c r="C60" t="s">
        <v>635</v>
      </c>
      <c r="D60">
        <v>2</v>
      </c>
      <c r="E60" t="s">
        <v>631</v>
      </c>
      <c r="F60" t="s">
        <v>630</v>
      </c>
      <c r="G60">
        <v>6250</v>
      </c>
      <c r="H60">
        <v>5654</v>
      </c>
      <c r="I60">
        <v>188</v>
      </c>
      <c r="J60">
        <v>180</v>
      </c>
      <c r="K60">
        <v>1</v>
      </c>
      <c r="L60" t="s">
        <v>646</v>
      </c>
      <c r="M60" t="s">
        <v>633</v>
      </c>
    </row>
    <row r="61" spans="1:13" x14ac:dyDescent="0.3">
      <c r="A61" t="s">
        <v>732</v>
      </c>
      <c r="B61" t="s">
        <v>629</v>
      </c>
      <c r="C61" t="s">
        <v>635</v>
      </c>
      <c r="D61">
        <v>2</v>
      </c>
      <c r="E61" t="s">
        <v>640</v>
      </c>
      <c r="F61" t="s">
        <v>630</v>
      </c>
      <c r="G61">
        <v>3273</v>
      </c>
      <c r="H61">
        <v>1820</v>
      </c>
      <c r="I61">
        <v>81</v>
      </c>
      <c r="J61">
        <v>360</v>
      </c>
      <c r="K61">
        <v>1</v>
      </c>
      <c r="L61" t="s">
        <v>632</v>
      </c>
      <c r="M61" t="s">
        <v>633</v>
      </c>
    </row>
    <row r="62" spans="1:13" x14ac:dyDescent="0.3">
      <c r="A62" t="s">
        <v>733</v>
      </c>
      <c r="B62" t="s">
        <v>629</v>
      </c>
      <c r="C62" t="s">
        <v>630</v>
      </c>
      <c r="D62">
        <v>0</v>
      </c>
      <c r="E62" t="s">
        <v>631</v>
      </c>
      <c r="F62" t="s">
        <v>630</v>
      </c>
      <c r="G62">
        <v>4133</v>
      </c>
      <c r="H62">
        <v>0</v>
      </c>
      <c r="I62">
        <v>122</v>
      </c>
      <c r="J62">
        <v>360</v>
      </c>
      <c r="K62">
        <v>1</v>
      </c>
      <c r="L62" t="s">
        <v>646</v>
      </c>
      <c r="M62" t="s">
        <v>633</v>
      </c>
    </row>
    <row r="63" spans="1:13" x14ac:dyDescent="0.3">
      <c r="A63" t="s">
        <v>734</v>
      </c>
      <c r="B63" t="s">
        <v>629</v>
      </c>
      <c r="C63" t="s">
        <v>630</v>
      </c>
      <c r="D63">
        <v>0</v>
      </c>
      <c r="E63" t="s">
        <v>640</v>
      </c>
      <c r="F63" t="s">
        <v>630</v>
      </c>
      <c r="G63">
        <v>3620</v>
      </c>
      <c r="H63">
        <v>0</v>
      </c>
      <c r="I63">
        <v>25</v>
      </c>
      <c r="J63">
        <v>120</v>
      </c>
      <c r="K63">
        <v>1</v>
      </c>
      <c r="L63" t="s">
        <v>646</v>
      </c>
      <c r="M63" t="s">
        <v>633</v>
      </c>
    </row>
    <row r="64" spans="1:13" x14ac:dyDescent="0.3">
      <c r="A64" t="s">
        <v>736</v>
      </c>
      <c r="B64" t="s">
        <v>657</v>
      </c>
      <c r="C64" t="s">
        <v>635</v>
      </c>
      <c r="D64">
        <v>0</v>
      </c>
      <c r="E64" t="s">
        <v>631</v>
      </c>
      <c r="F64" t="s">
        <v>630</v>
      </c>
      <c r="G64">
        <v>2484</v>
      </c>
      <c r="H64">
        <v>2302</v>
      </c>
      <c r="I64">
        <v>137</v>
      </c>
      <c r="J64">
        <v>360</v>
      </c>
      <c r="K64">
        <v>1</v>
      </c>
      <c r="L64" t="s">
        <v>646</v>
      </c>
      <c r="M64" t="s">
        <v>633</v>
      </c>
    </row>
    <row r="65" spans="1:13" x14ac:dyDescent="0.3">
      <c r="A65" t="s">
        <v>737</v>
      </c>
      <c r="B65" t="s">
        <v>629</v>
      </c>
      <c r="C65" t="s">
        <v>635</v>
      </c>
      <c r="D65">
        <v>0</v>
      </c>
      <c r="E65" t="s">
        <v>631</v>
      </c>
      <c r="F65" t="s">
        <v>630</v>
      </c>
      <c r="G65">
        <v>1977</v>
      </c>
      <c r="H65">
        <v>997</v>
      </c>
      <c r="I65">
        <v>50</v>
      </c>
      <c r="J65">
        <v>360</v>
      </c>
      <c r="K65">
        <v>1</v>
      </c>
      <c r="L65" t="s">
        <v>646</v>
      </c>
      <c r="M65" t="s">
        <v>633</v>
      </c>
    </row>
    <row r="66" spans="1:13" x14ac:dyDescent="0.3">
      <c r="A66" t="s">
        <v>738</v>
      </c>
      <c r="B66" t="s">
        <v>629</v>
      </c>
      <c r="C66" t="s">
        <v>635</v>
      </c>
      <c r="D66">
        <v>0</v>
      </c>
      <c r="E66" t="s">
        <v>640</v>
      </c>
      <c r="F66" t="s">
        <v>630</v>
      </c>
      <c r="G66">
        <v>4188</v>
      </c>
      <c r="H66">
        <v>0</v>
      </c>
      <c r="I66">
        <v>115</v>
      </c>
      <c r="J66">
        <v>180</v>
      </c>
      <c r="K66">
        <v>1</v>
      </c>
      <c r="L66" t="s">
        <v>646</v>
      </c>
      <c r="M66" t="s">
        <v>633</v>
      </c>
    </row>
    <row r="67" spans="1:13" x14ac:dyDescent="0.3">
      <c r="A67" t="s">
        <v>739</v>
      </c>
      <c r="B67" t="s">
        <v>629</v>
      </c>
      <c r="C67" t="s">
        <v>635</v>
      </c>
      <c r="D67">
        <v>0</v>
      </c>
      <c r="E67" t="s">
        <v>631</v>
      </c>
      <c r="F67" t="s">
        <v>630</v>
      </c>
      <c r="G67">
        <v>1759</v>
      </c>
      <c r="H67">
        <v>3541</v>
      </c>
      <c r="I67">
        <v>131</v>
      </c>
      <c r="J67">
        <v>360</v>
      </c>
      <c r="K67">
        <v>1</v>
      </c>
      <c r="L67" t="s">
        <v>646</v>
      </c>
      <c r="M67" t="s">
        <v>633</v>
      </c>
    </row>
    <row r="68" spans="1:13" x14ac:dyDescent="0.3">
      <c r="A68" t="s">
        <v>740</v>
      </c>
      <c r="B68" t="s">
        <v>629</v>
      </c>
      <c r="C68" t="s">
        <v>635</v>
      </c>
      <c r="D68">
        <v>2</v>
      </c>
      <c r="E68" t="s">
        <v>640</v>
      </c>
      <c r="F68" t="s">
        <v>630</v>
      </c>
      <c r="G68">
        <v>4288</v>
      </c>
      <c r="H68">
        <v>3263</v>
      </c>
      <c r="I68">
        <v>133</v>
      </c>
      <c r="J68">
        <v>180</v>
      </c>
      <c r="K68">
        <v>1</v>
      </c>
      <c r="L68" t="s">
        <v>632</v>
      </c>
      <c r="M68" t="s">
        <v>633</v>
      </c>
    </row>
    <row r="69" spans="1:13" x14ac:dyDescent="0.3">
      <c r="A69" t="s">
        <v>741</v>
      </c>
      <c r="B69" t="s">
        <v>629</v>
      </c>
      <c r="C69" t="s">
        <v>630</v>
      </c>
      <c r="D69">
        <v>0</v>
      </c>
      <c r="E69" t="s">
        <v>631</v>
      </c>
      <c r="F69" t="s">
        <v>630</v>
      </c>
      <c r="G69">
        <v>4843</v>
      </c>
      <c r="H69">
        <v>3806</v>
      </c>
      <c r="I69">
        <v>151</v>
      </c>
      <c r="J69">
        <v>360</v>
      </c>
      <c r="K69">
        <v>1</v>
      </c>
      <c r="L69" t="s">
        <v>646</v>
      </c>
      <c r="M69" t="s">
        <v>633</v>
      </c>
    </row>
    <row r="70" spans="1:13" x14ac:dyDescent="0.3">
      <c r="A70" t="s">
        <v>745</v>
      </c>
      <c r="B70" t="s">
        <v>629</v>
      </c>
      <c r="C70" t="s">
        <v>635</v>
      </c>
      <c r="D70">
        <v>1</v>
      </c>
      <c r="E70" t="s">
        <v>631</v>
      </c>
      <c r="F70" t="s">
        <v>630</v>
      </c>
      <c r="G70">
        <v>3052</v>
      </c>
      <c r="H70">
        <v>1030</v>
      </c>
      <c r="I70">
        <v>100</v>
      </c>
      <c r="J70">
        <v>360</v>
      </c>
      <c r="K70">
        <v>1</v>
      </c>
      <c r="L70" t="s">
        <v>632</v>
      </c>
      <c r="M70" t="s">
        <v>633</v>
      </c>
    </row>
    <row r="71" spans="1:13" x14ac:dyDescent="0.3">
      <c r="A71" t="s">
        <v>746</v>
      </c>
      <c r="B71" t="s">
        <v>629</v>
      </c>
      <c r="C71" t="s">
        <v>635</v>
      </c>
      <c r="D71">
        <v>2</v>
      </c>
      <c r="E71" t="s">
        <v>631</v>
      </c>
      <c r="F71" t="s">
        <v>630</v>
      </c>
      <c r="G71">
        <v>11417</v>
      </c>
      <c r="H71">
        <v>1126</v>
      </c>
      <c r="I71">
        <v>225</v>
      </c>
      <c r="J71">
        <v>360</v>
      </c>
      <c r="K71">
        <v>1</v>
      </c>
      <c r="L71" t="s">
        <v>632</v>
      </c>
      <c r="M71" t="s">
        <v>633</v>
      </c>
    </row>
    <row r="72" spans="1:13" x14ac:dyDescent="0.3">
      <c r="A72" t="s">
        <v>748</v>
      </c>
      <c r="B72" t="s">
        <v>629</v>
      </c>
      <c r="C72" t="s">
        <v>635</v>
      </c>
      <c r="D72">
        <v>2</v>
      </c>
      <c r="E72" t="s">
        <v>631</v>
      </c>
      <c r="F72" t="s">
        <v>630</v>
      </c>
      <c r="G72">
        <v>3800</v>
      </c>
      <c r="H72">
        <v>3600</v>
      </c>
      <c r="I72">
        <v>216</v>
      </c>
      <c r="J72">
        <v>360</v>
      </c>
      <c r="K72">
        <v>0</v>
      </c>
      <c r="L72" t="s">
        <v>632</v>
      </c>
      <c r="M72" t="s">
        <v>637</v>
      </c>
    </row>
    <row r="73" spans="1:13" x14ac:dyDescent="0.3">
      <c r="A73" t="s">
        <v>749</v>
      </c>
      <c r="B73" t="s">
        <v>629</v>
      </c>
      <c r="C73" t="s">
        <v>635</v>
      </c>
      <c r="D73" t="s">
        <v>645</v>
      </c>
      <c r="E73" t="s">
        <v>640</v>
      </c>
      <c r="F73" t="s">
        <v>630</v>
      </c>
      <c r="G73">
        <v>2071</v>
      </c>
      <c r="H73">
        <v>754</v>
      </c>
      <c r="I73">
        <v>94</v>
      </c>
      <c r="J73">
        <v>480</v>
      </c>
      <c r="K73">
        <v>1</v>
      </c>
      <c r="L73" t="s">
        <v>646</v>
      </c>
      <c r="M73" t="s">
        <v>633</v>
      </c>
    </row>
    <row r="74" spans="1:13" x14ac:dyDescent="0.3">
      <c r="A74" t="s">
        <v>750</v>
      </c>
      <c r="B74" t="s">
        <v>629</v>
      </c>
      <c r="C74" t="s">
        <v>630</v>
      </c>
      <c r="D74">
        <v>0</v>
      </c>
      <c r="E74" t="s">
        <v>631</v>
      </c>
      <c r="F74" t="s">
        <v>630</v>
      </c>
      <c r="G74">
        <v>5316</v>
      </c>
      <c r="H74">
        <v>0</v>
      </c>
      <c r="I74">
        <v>136</v>
      </c>
      <c r="J74">
        <v>360</v>
      </c>
      <c r="K74">
        <v>1</v>
      </c>
      <c r="L74" t="s">
        <v>632</v>
      </c>
      <c r="M74" t="s">
        <v>633</v>
      </c>
    </row>
    <row r="75" spans="1:13" x14ac:dyDescent="0.3">
      <c r="A75" t="s">
        <v>755</v>
      </c>
      <c r="B75" t="s">
        <v>629</v>
      </c>
      <c r="C75" t="s">
        <v>635</v>
      </c>
      <c r="D75">
        <v>1</v>
      </c>
      <c r="E75" t="s">
        <v>631</v>
      </c>
      <c r="F75" t="s">
        <v>630</v>
      </c>
      <c r="G75">
        <v>14583</v>
      </c>
      <c r="H75">
        <v>0</v>
      </c>
      <c r="I75">
        <v>185</v>
      </c>
      <c r="J75">
        <v>180</v>
      </c>
      <c r="K75">
        <v>1</v>
      </c>
      <c r="L75" t="s">
        <v>636</v>
      </c>
      <c r="M75" t="s">
        <v>633</v>
      </c>
    </row>
    <row r="76" spans="1:13" x14ac:dyDescent="0.3">
      <c r="A76" t="s">
        <v>756</v>
      </c>
      <c r="B76" t="s">
        <v>657</v>
      </c>
      <c r="C76" t="s">
        <v>635</v>
      </c>
      <c r="D76">
        <v>0</v>
      </c>
      <c r="E76" t="s">
        <v>631</v>
      </c>
      <c r="F76" t="s">
        <v>630</v>
      </c>
      <c r="G76">
        <v>3167</v>
      </c>
      <c r="H76">
        <v>2283</v>
      </c>
      <c r="I76">
        <v>154</v>
      </c>
      <c r="J76">
        <v>360</v>
      </c>
      <c r="K76">
        <v>1</v>
      </c>
      <c r="L76" t="s">
        <v>646</v>
      </c>
      <c r="M76" t="s">
        <v>633</v>
      </c>
    </row>
    <row r="77" spans="1:13" x14ac:dyDescent="0.3">
      <c r="A77" t="s">
        <v>758</v>
      </c>
      <c r="B77" t="s">
        <v>629</v>
      </c>
      <c r="C77" t="s">
        <v>635</v>
      </c>
      <c r="D77">
        <v>0</v>
      </c>
      <c r="E77" t="s">
        <v>631</v>
      </c>
      <c r="F77" t="s">
        <v>630</v>
      </c>
      <c r="G77">
        <v>5568</v>
      </c>
      <c r="H77">
        <v>2142</v>
      </c>
      <c r="I77">
        <v>175</v>
      </c>
      <c r="J77">
        <v>360</v>
      </c>
      <c r="K77">
        <v>1</v>
      </c>
      <c r="L77" t="s">
        <v>636</v>
      </c>
      <c r="M77" t="s">
        <v>637</v>
      </c>
    </row>
    <row r="78" spans="1:13" x14ac:dyDescent="0.3">
      <c r="A78" t="s">
        <v>759</v>
      </c>
      <c r="B78" t="s">
        <v>657</v>
      </c>
      <c r="C78" t="s">
        <v>630</v>
      </c>
      <c r="D78">
        <v>0</v>
      </c>
      <c r="E78" t="s">
        <v>631</v>
      </c>
      <c r="F78" t="s">
        <v>630</v>
      </c>
      <c r="G78">
        <v>10408</v>
      </c>
      <c r="H78">
        <v>0</v>
      </c>
      <c r="I78">
        <v>259</v>
      </c>
      <c r="J78">
        <v>360</v>
      </c>
      <c r="K78">
        <v>1</v>
      </c>
      <c r="L78" t="s">
        <v>632</v>
      </c>
      <c r="M78" t="s">
        <v>633</v>
      </c>
    </row>
    <row r="79" spans="1:13" x14ac:dyDescent="0.3">
      <c r="A79" t="s">
        <v>761</v>
      </c>
      <c r="B79" t="s">
        <v>657</v>
      </c>
      <c r="C79" t="s">
        <v>630</v>
      </c>
      <c r="D79">
        <v>0</v>
      </c>
      <c r="E79" t="s">
        <v>631</v>
      </c>
      <c r="F79" t="s">
        <v>630</v>
      </c>
      <c r="G79">
        <v>4166</v>
      </c>
      <c r="H79">
        <v>0</v>
      </c>
      <c r="I79">
        <v>44</v>
      </c>
      <c r="J79">
        <v>360</v>
      </c>
      <c r="K79">
        <v>1</v>
      </c>
      <c r="L79" t="s">
        <v>646</v>
      </c>
      <c r="M79" t="s">
        <v>633</v>
      </c>
    </row>
    <row r="80" spans="1:13" x14ac:dyDescent="0.3">
      <c r="A80" t="s">
        <v>762</v>
      </c>
      <c r="B80" t="s">
        <v>657</v>
      </c>
      <c r="C80" t="s">
        <v>630</v>
      </c>
      <c r="D80">
        <v>0</v>
      </c>
      <c r="E80" t="s">
        <v>631</v>
      </c>
      <c r="F80" t="s">
        <v>630</v>
      </c>
      <c r="G80">
        <v>2137</v>
      </c>
      <c r="H80">
        <v>8980</v>
      </c>
      <c r="I80">
        <v>137</v>
      </c>
      <c r="J80">
        <v>360</v>
      </c>
      <c r="K80">
        <v>0</v>
      </c>
      <c r="L80" t="s">
        <v>646</v>
      </c>
      <c r="M80" t="s">
        <v>633</v>
      </c>
    </row>
    <row r="81" spans="1:13" x14ac:dyDescent="0.3">
      <c r="A81" t="s">
        <v>763</v>
      </c>
      <c r="B81" t="s">
        <v>629</v>
      </c>
      <c r="C81" t="s">
        <v>635</v>
      </c>
      <c r="D81">
        <v>2</v>
      </c>
      <c r="E81" t="s">
        <v>631</v>
      </c>
      <c r="F81" t="s">
        <v>630</v>
      </c>
      <c r="G81">
        <v>2957</v>
      </c>
      <c r="H81">
        <v>0</v>
      </c>
      <c r="I81">
        <v>81</v>
      </c>
      <c r="J81">
        <v>360</v>
      </c>
      <c r="K81">
        <v>1</v>
      </c>
      <c r="L81" t="s">
        <v>646</v>
      </c>
      <c r="M81" t="s">
        <v>633</v>
      </c>
    </row>
    <row r="82" spans="1:13" x14ac:dyDescent="0.3">
      <c r="A82" t="s">
        <v>764</v>
      </c>
      <c r="B82" t="s">
        <v>629</v>
      </c>
      <c r="C82" t="s">
        <v>635</v>
      </c>
      <c r="D82">
        <v>0</v>
      </c>
      <c r="E82" t="s">
        <v>640</v>
      </c>
      <c r="F82" t="s">
        <v>630</v>
      </c>
      <c r="G82">
        <v>4300</v>
      </c>
      <c r="H82">
        <v>2014</v>
      </c>
      <c r="I82">
        <v>194</v>
      </c>
      <c r="J82">
        <v>360</v>
      </c>
      <c r="K82">
        <v>1</v>
      </c>
      <c r="L82" t="s">
        <v>636</v>
      </c>
      <c r="M82" t="s">
        <v>633</v>
      </c>
    </row>
    <row r="83" spans="1:13" x14ac:dyDescent="0.3">
      <c r="A83" t="s">
        <v>768</v>
      </c>
      <c r="B83" t="s">
        <v>629</v>
      </c>
      <c r="C83" t="s">
        <v>635</v>
      </c>
      <c r="D83">
        <v>1</v>
      </c>
      <c r="E83" t="s">
        <v>631</v>
      </c>
      <c r="F83" t="s">
        <v>635</v>
      </c>
      <c r="G83">
        <v>10513</v>
      </c>
      <c r="H83">
        <v>3850</v>
      </c>
      <c r="I83">
        <v>160</v>
      </c>
      <c r="J83">
        <v>180</v>
      </c>
      <c r="K83">
        <v>0</v>
      </c>
      <c r="L83" t="s">
        <v>632</v>
      </c>
      <c r="M83" t="s">
        <v>637</v>
      </c>
    </row>
    <row r="84" spans="1:13" x14ac:dyDescent="0.3">
      <c r="A84" t="s">
        <v>771</v>
      </c>
      <c r="B84" t="s">
        <v>629</v>
      </c>
      <c r="C84" t="s">
        <v>630</v>
      </c>
      <c r="D84">
        <v>0</v>
      </c>
      <c r="E84" t="s">
        <v>631</v>
      </c>
      <c r="F84" t="s">
        <v>630</v>
      </c>
      <c r="G84">
        <v>2014</v>
      </c>
      <c r="H84">
        <v>1929</v>
      </c>
      <c r="I84">
        <v>74</v>
      </c>
      <c r="J84">
        <v>360</v>
      </c>
      <c r="K84">
        <v>1</v>
      </c>
      <c r="L84" t="s">
        <v>632</v>
      </c>
      <c r="M84" t="s">
        <v>633</v>
      </c>
    </row>
    <row r="85" spans="1:13" x14ac:dyDescent="0.3">
      <c r="A85" t="s">
        <v>772</v>
      </c>
      <c r="B85" t="s">
        <v>629</v>
      </c>
      <c r="C85" t="s">
        <v>630</v>
      </c>
      <c r="D85">
        <v>0</v>
      </c>
      <c r="E85" t="s">
        <v>631</v>
      </c>
      <c r="F85" t="s">
        <v>630</v>
      </c>
      <c r="G85">
        <v>2718</v>
      </c>
      <c r="H85">
        <v>0</v>
      </c>
      <c r="I85">
        <v>70</v>
      </c>
      <c r="J85">
        <v>360</v>
      </c>
      <c r="K85">
        <v>1</v>
      </c>
      <c r="L85" t="s">
        <v>646</v>
      </c>
      <c r="M85" t="s">
        <v>633</v>
      </c>
    </row>
    <row r="86" spans="1:13" x14ac:dyDescent="0.3">
      <c r="A86" t="s">
        <v>773</v>
      </c>
      <c r="B86" t="s">
        <v>629</v>
      </c>
      <c r="C86" t="s">
        <v>635</v>
      </c>
      <c r="D86">
        <v>0</v>
      </c>
      <c r="E86" t="s">
        <v>631</v>
      </c>
      <c r="F86" t="s">
        <v>635</v>
      </c>
      <c r="G86">
        <v>3459</v>
      </c>
      <c r="H86">
        <v>0</v>
      </c>
      <c r="I86">
        <v>25</v>
      </c>
      <c r="J86">
        <v>120</v>
      </c>
      <c r="K86">
        <v>1</v>
      </c>
      <c r="L86" t="s">
        <v>646</v>
      </c>
      <c r="M86" t="s">
        <v>633</v>
      </c>
    </row>
    <row r="87" spans="1:13" x14ac:dyDescent="0.3">
      <c r="A87" t="s">
        <v>774</v>
      </c>
      <c r="B87" t="s">
        <v>629</v>
      </c>
      <c r="C87" t="s">
        <v>630</v>
      </c>
      <c r="D87">
        <v>0</v>
      </c>
      <c r="E87" t="s">
        <v>631</v>
      </c>
      <c r="F87" t="s">
        <v>630</v>
      </c>
      <c r="G87">
        <v>4895</v>
      </c>
      <c r="H87">
        <v>0</v>
      </c>
      <c r="I87">
        <v>102</v>
      </c>
      <c r="J87">
        <v>360</v>
      </c>
      <c r="K87">
        <v>1</v>
      </c>
      <c r="L87" t="s">
        <v>646</v>
      </c>
      <c r="M87" t="s">
        <v>633</v>
      </c>
    </row>
    <row r="88" spans="1:13" x14ac:dyDescent="0.3">
      <c r="A88" t="s">
        <v>776</v>
      </c>
      <c r="B88" t="s">
        <v>657</v>
      </c>
      <c r="C88" t="s">
        <v>635</v>
      </c>
      <c r="D88">
        <v>0</v>
      </c>
      <c r="E88" t="s">
        <v>631</v>
      </c>
      <c r="F88" t="s">
        <v>630</v>
      </c>
      <c r="G88">
        <v>4583</v>
      </c>
      <c r="H88">
        <v>0</v>
      </c>
      <c r="I88">
        <v>84</v>
      </c>
      <c r="J88">
        <v>360</v>
      </c>
      <c r="K88">
        <v>1</v>
      </c>
      <c r="L88" t="s">
        <v>636</v>
      </c>
      <c r="M88" t="s">
        <v>637</v>
      </c>
    </row>
    <row r="89" spans="1:13" x14ac:dyDescent="0.3">
      <c r="A89" t="s">
        <v>777</v>
      </c>
      <c r="B89" t="s">
        <v>629</v>
      </c>
      <c r="C89" t="s">
        <v>635</v>
      </c>
      <c r="D89">
        <v>2</v>
      </c>
      <c r="E89" t="s">
        <v>631</v>
      </c>
      <c r="F89" t="s">
        <v>635</v>
      </c>
      <c r="G89">
        <v>3316</v>
      </c>
      <c r="H89">
        <v>3500</v>
      </c>
      <c r="I89">
        <v>88</v>
      </c>
      <c r="J89">
        <v>360</v>
      </c>
      <c r="K89">
        <v>1</v>
      </c>
      <c r="L89" t="s">
        <v>632</v>
      </c>
      <c r="M89" t="s">
        <v>633</v>
      </c>
    </row>
    <row r="90" spans="1:13" x14ac:dyDescent="0.3">
      <c r="A90" t="s">
        <v>778</v>
      </c>
      <c r="B90" t="s">
        <v>629</v>
      </c>
      <c r="C90" t="s">
        <v>630</v>
      </c>
      <c r="D90">
        <v>0</v>
      </c>
      <c r="E90" t="s">
        <v>631</v>
      </c>
      <c r="F90" t="s">
        <v>630</v>
      </c>
      <c r="G90">
        <v>14999</v>
      </c>
      <c r="H90">
        <v>0</v>
      </c>
      <c r="I90">
        <v>242</v>
      </c>
      <c r="J90">
        <v>360</v>
      </c>
      <c r="K90">
        <v>0</v>
      </c>
      <c r="L90" t="s">
        <v>646</v>
      </c>
      <c r="M90" t="s">
        <v>637</v>
      </c>
    </row>
    <row r="91" spans="1:13" x14ac:dyDescent="0.3">
      <c r="A91" t="s">
        <v>779</v>
      </c>
      <c r="B91" t="s">
        <v>629</v>
      </c>
      <c r="C91" t="s">
        <v>635</v>
      </c>
      <c r="D91">
        <v>2</v>
      </c>
      <c r="E91" t="s">
        <v>640</v>
      </c>
      <c r="F91" t="s">
        <v>630</v>
      </c>
      <c r="G91">
        <v>4200</v>
      </c>
      <c r="H91">
        <v>1430</v>
      </c>
      <c r="I91">
        <v>129</v>
      </c>
      <c r="J91">
        <v>360</v>
      </c>
      <c r="K91">
        <v>1</v>
      </c>
      <c r="L91" t="s">
        <v>636</v>
      </c>
      <c r="M91" t="s">
        <v>637</v>
      </c>
    </row>
    <row r="92" spans="1:13" x14ac:dyDescent="0.3">
      <c r="A92" t="s">
        <v>780</v>
      </c>
      <c r="B92" t="s">
        <v>629</v>
      </c>
      <c r="C92" t="s">
        <v>635</v>
      </c>
      <c r="D92">
        <v>2</v>
      </c>
      <c r="E92" t="s">
        <v>631</v>
      </c>
      <c r="F92" t="s">
        <v>630</v>
      </c>
      <c r="G92">
        <v>5042</v>
      </c>
      <c r="H92">
        <v>2083</v>
      </c>
      <c r="I92">
        <v>185</v>
      </c>
      <c r="J92">
        <v>360</v>
      </c>
      <c r="K92">
        <v>1</v>
      </c>
      <c r="L92" t="s">
        <v>636</v>
      </c>
      <c r="M92" t="s">
        <v>637</v>
      </c>
    </row>
    <row r="93" spans="1:13" x14ac:dyDescent="0.3">
      <c r="A93" t="s">
        <v>781</v>
      </c>
      <c r="B93" t="s">
        <v>629</v>
      </c>
      <c r="C93" t="s">
        <v>630</v>
      </c>
      <c r="D93">
        <v>0</v>
      </c>
      <c r="E93" t="s">
        <v>631</v>
      </c>
      <c r="F93" t="s">
        <v>630</v>
      </c>
      <c r="G93">
        <v>5417</v>
      </c>
      <c r="H93">
        <v>0</v>
      </c>
      <c r="I93">
        <v>168</v>
      </c>
      <c r="J93">
        <v>360</v>
      </c>
      <c r="K93">
        <v>1</v>
      </c>
      <c r="L93" t="s">
        <v>632</v>
      </c>
      <c r="M93" t="s">
        <v>633</v>
      </c>
    </row>
    <row r="94" spans="1:13" x14ac:dyDescent="0.3">
      <c r="A94" t="s">
        <v>782</v>
      </c>
      <c r="B94" t="s">
        <v>629</v>
      </c>
      <c r="C94" t="s">
        <v>630</v>
      </c>
      <c r="D94">
        <v>0</v>
      </c>
      <c r="E94" t="s">
        <v>631</v>
      </c>
      <c r="F94" t="s">
        <v>635</v>
      </c>
      <c r="G94">
        <v>6950</v>
      </c>
      <c r="H94">
        <v>0</v>
      </c>
      <c r="I94">
        <v>175</v>
      </c>
      <c r="J94">
        <v>180</v>
      </c>
      <c r="K94">
        <v>1</v>
      </c>
      <c r="L94" t="s">
        <v>646</v>
      </c>
      <c r="M94" t="s">
        <v>633</v>
      </c>
    </row>
    <row r="95" spans="1:13" x14ac:dyDescent="0.3">
      <c r="A95" t="s">
        <v>783</v>
      </c>
      <c r="B95" t="s">
        <v>629</v>
      </c>
      <c r="C95" t="s">
        <v>635</v>
      </c>
      <c r="D95">
        <v>0</v>
      </c>
      <c r="E95" t="s">
        <v>631</v>
      </c>
      <c r="F95" t="s">
        <v>630</v>
      </c>
      <c r="G95">
        <v>2698</v>
      </c>
      <c r="H95">
        <v>2034</v>
      </c>
      <c r="I95">
        <v>122</v>
      </c>
      <c r="J95">
        <v>360</v>
      </c>
      <c r="K95">
        <v>1</v>
      </c>
      <c r="L95" t="s">
        <v>646</v>
      </c>
      <c r="M95" t="s">
        <v>633</v>
      </c>
    </row>
    <row r="96" spans="1:13" x14ac:dyDescent="0.3">
      <c r="A96" t="s">
        <v>784</v>
      </c>
      <c r="B96" t="s">
        <v>629</v>
      </c>
      <c r="C96" t="s">
        <v>635</v>
      </c>
      <c r="D96">
        <v>2</v>
      </c>
      <c r="E96" t="s">
        <v>631</v>
      </c>
      <c r="F96" t="s">
        <v>630</v>
      </c>
      <c r="G96">
        <v>11757</v>
      </c>
      <c r="H96">
        <v>0</v>
      </c>
      <c r="I96">
        <v>187</v>
      </c>
      <c r="J96">
        <v>180</v>
      </c>
      <c r="K96">
        <v>1</v>
      </c>
      <c r="L96" t="s">
        <v>632</v>
      </c>
      <c r="M96" t="s">
        <v>633</v>
      </c>
    </row>
    <row r="97" spans="1:13" x14ac:dyDescent="0.3">
      <c r="A97" t="s">
        <v>785</v>
      </c>
      <c r="B97" t="s">
        <v>657</v>
      </c>
      <c r="C97" t="s">
        <v>635</v>
      </c>
      <c r="D97">
        <v>0</v>
      </c>
      <c r="E97" t="s">
        <v>631</v>
      </c>
      <c r="F97" t="s">
        <v>630</v>
      </c>
      <c r="G97">
        <v>2330</v>
      </c>
      <c r="H97">
        <v>4486</v>
      </c>
      <c r="I97">
        <v>100</v>
      </c>
      <c r="J97">
        <v>360</v>
      </c>
      <c r="K97">
        <v>1</v>
      </c>
      <c r="L97" t="s">
        <v>646</v>
      </c>
      <c r="M97" t="s">
        <v>633</v>
      </c>
    </row>
    <row r="98" spans="1:13" x14ac:dyDescent="0.3">
      <c r="A98" t="s">
        <v>786</v>
      </c>
      <c r="B98" t="s">
        <v>657</v>
      </c>
      <c r="C98" t="s">
        <v>635</v>
      </c>
      <c r="D98">
        <v>2</v>
      </c>
      <c r="E98" t="s">
        <v>631</v>
      </c>
      <c r="F98" t="s">
        <v>630</v>
      </c>
      <c r="G98">
        <v>14866</v>
      </c>
      <c r="H98">
        <v>0</v>
      </c>
      <c r="I98">
        <v>70</v>
      </c>
      <c r="J98">
        <v>360</v>
      </c>
      <c r="K98">
        <v>1</v>
      </c>
      <c r="L98" t="s">
        <v>632</v>
      </c>
      <c r="M98" t="s">
        <v>633</v>
      </c>
    </row>
    <row r="99" spans="1:13" x14ac:dyDescent="0.3">
      <c r="A99" t="s">
        <v>787</v>
      </c>
      <c r="B99" t="s">
        <v>629</v>
      </c>
      <c r="C99" t="s">
        <v>635</v>
      </c>
      <c r="D99">
        <v>1</v>
      </c>
      <c r="E99" t="s">
        <v>631</v>
      </c>
      <c r="F99" t="s">
        <v>630</v>
      </c>
      <c r="G99">
        <v>1538</v>
      </c>
      <c r="H99">
        <v>1425</v>
      </c>
      <c r="I99">
        <v>30</v>
      </c>
      <c r="J99">
        <v>360</v>
      </c>
      <c r="K99">
        <v>1</v>
      </c>
      <c r="L99" t="s">
        <v>632</v>
      </c>
      <c r="M99" t="s">
        <v>633</v>
      </c>
    </row>
    <row r="100" spans="1:13" x14ac:dyDescent="0.3">
      <c r="A100" t="s">
        <v>788</v>
      </c>
      <c r="B100" t="s">
        <v>657</v>
      </c>
      <c r="C100" t="s">
        <v>630</v>
      </c>
      <c r="D100">
        <v>0</v>
      </c>
      <c r="E100" t="s">
        <v>631</v>
      </c>
      <c r="F100" t="s">
        <v>630</v>
      </c>
      <c r="G100">
        <v>10000</v>
      </c>
      <c r="H100">
        <v>1666</v>
      </c>
      <c r="I100">
        <v>225</v>
      </c>
      <c r="J100">
        <v>360</v>
      </c>
      <c r="K100">
        <v>1</v>
      </c>
      <c r="L100" t="s">
        <v>636</v>
      </c>
      <c r="M100" t="s">
        <v>637</v>
      </c>
    </row>
    <row r="101" spans="1:13" x14ac:dyDescent="0.3">
      <c r="A101" t="s">
        <v>789</v>
      </c>
      <c r="B101" t="s">
        <v>629</v>
      </c>
      <c r="C101" t="s">
        <v>635</v>
      </c>
      <c r="D101">
        <v>0</v>
      </c>
      <c r="E101" t="s">
        <v>631</v>
      </c>
      <c r="F101" t="s">
        <v>630</v>
      </c>
      <c r="G101">
        <v>4860</v>
      </c>
      <c r="H101">
        <v>830</v>
      </c>
      <c r="I101">
        <v>125</v>
      </c>
      <c r="J101">
        <v>360</v>
      </c>
      <c r="K101">
        <v>1</v>
      </c>
      <c r="L101" t="s">
        <v>646</v>
      </c>
      <c r="M101" t="s">
        <v>633</v>
      </c>
    </row>
    <row r="102" spans="1:13" x14ac:dyDescent="0.3">
      <c r="A102" t="s">
        <v>790</v>
      </c>
      <c r="B102" t="s">
        <v>629</v>
      </c>
      <c r="C102" t="s">
        <v>630</v>
      </c>
      <c r="D102">
        <v>0</v>
      </c>
      <c r="E102" t="s">
        <v>631</v>
      </c>
      <c r="F102" t="s">
        <v>630</v>
      </c>
      <c r="G102">
        <v>6277</v>
      </c>
      <c r="H102">
        <v>0</v>
      </c>
      <c r="I102">
        <v>118</v>
      </c>
      <c r="J102">
        <v>360</v>
      </c>
      <c r="K102">
        <v>0</v>
      </c>
      <c r="L102" t="s">
        <v>636</v>
      </c>
      <c r="M102" t="s">
        <v>637</v>
      </c>
    </row>
    <row r="103" spans="1:13" x14ac:dyDescent="0.3">
      <c r="A103" t="s">
        <v>791</v>
      </c>
      <c r="B103" t="s">
        <v>629</v>
      </c>
      <c r="C103" t="s">
        <v>635</v>
      </c>
      <c r="D103">
        <v>0</v>
      </c>
      <c r="E103" t="s">
        <v>631</v>
      </c>
      <c r="F103" t="s">
        <v>635</v>
      </c>
      <c r="G103">
        <v>2577</v>
      </c>
      <c r="H103">
        <v>3750</v>
      </c>
      <c r="I103">
        <v>152</v>
      </c>
      <c r="J103">
        <v>360</v>
      </c>
      <c r="K103">
        <v>1</v>
      </c>
      <c r="L103" t="s">
        <v>636</v>
      </c>
      <c r="M103" t="s">
        <v>633</v>
      </c>
    </row>
    <row r="104" spans="1:13" x14ac:dyDescent="0.3">
      <c r="A104" t="s">
        <v>792</v>
      </c>
      <c r="B104" t="s">
        <v>629</v>
      </c>
      <c r="C104" t="s">
        <v>630</v>
      </c>
      <c r="D104">
        <v>0</v>
      </c>
      <c r="E104" t="s">
        <v>631</v>
      </c>
      <c r="F104" t="s">
        <v>630</v>
      </c>
      <c r="G104">
        <v>9166</v>
      </c>
      <c r="H104">
        <v>0</v>
      </c>
      <c r="I104">
        <v>244</v>
      </c>
      <c r="J104">
        <v>360</v>
      </c>
      <c r="K104">
        <v>1</v>
      </c>
      <c r="L104" t="s">
        <v>632</v>
      </c>
      <c r="M104" t="s">
        <v>637</v>
      </c>
    </row>
    <row r="105" spans="1:13" x14ac:dyDescent="0.3">
      <c r="A105" t="s">
        <v>793</v>
      </c>
      <c r="B105" t="s">
        <v>629</v>
      </c>
      <c r="C105" t="s">
        <v>635</v>
      </c>
      <c r="D105">
        <v>2</v>
      </c>
      <c r="E105" t="s">
        <v>640</v>
      </c>
      <c r="F105" t="s">
        <v>630</v>
      </c>
      <c r="G105">
        <v>2281</v>
      </c>
      <c r="H105">
        <v>0</v>
      </c>
      <c r="I105">
        <v>113</v>
      </c>
      <c r="J105">
        <v>360</v>
      </c>
      <c r="K105">
        <v>1</v>
      </c>
      <c r="L105" t="s">
        <v>636</v>
      </c>
      <c r="M105" t="s">
        <v>637</v>
      </c>
    </row>
    <row r="106" spans="1:13" x14ac:dyDescent="0.3">
      <c r="A106" t="s">
        <v>794</v>
      </c>
      <c r="B106" t="s">
        <v>629</v>
      </c>
      <c r="C106" t="s">
        <v>630</v>
      </c>
      <c r="D106">
        <v>0</v>
      </c>
      <c r="E106" t="s">
        <v>631</v>
      </c>
      <c r="F106" t="s">
        <v>630</v>
      </c>
      <c r="G106">
        <v>3254</v>
      </c>
      <c r="H106">
        <v>0</v>
      </c>
      <c r="I106">
        <v>50</v>
      </c>
      <c r="J106">
        <v>360</v>
      </c>
      <c r="K106">
        <v>1</v>
      </c>
      <c r="L106" t="s">
        <v>632</v>
      </c>
      <c r="M106" t="s">
        <v>633</v>
      </c>
    </row>
    <row r="107" spans="1:13" x14ac:dyDescent="0.3">
      <c r="A107" t="s">
        <v>797</v>
      </c>
      <c r="B107" t="s">
        <v>629</v>
      </c>
      <c r="C107" t="s">
        <v>635</v>
      </c>
      <c r="D107">
        <v>1</v>
      </c>
      <c r="E107" t="s">
        <v>631</v>
      </c>
      <c r="F107" t="s">
        <v>630</v>
      </c>
      <c r="G107">
        <v>9538</v>
      </c>
      <c r="H107">
        <v>0</v>
      </c>
      <c r="I107">
        <v>187</v>
      </c>
      <c r="J107">
        <v>360</v>
      </c>
      <c r="K107">
        <v>1</v>
      </c>
      <c r="L107" t="s">
        <v>632</v>
      </c>
      <c r="M107" t="s">
        <v>633</v>
      </c>
    </row>
    <row r="108" spans="1:13" x14ac:dyDescent="0.3">
      <c r="A108" t="s">
        <v>799</v>
      </c>
      <c r="B108" t="s">
        <v>629</v>
      </c>
      <c r="C108" t="s">
        <v>635</v>
      </c>
      <c r="D108">
        <v>0</v>
      </c>
      <c r="E108" t="s">
        <v>631</v>
      </c>
      <c r="F108" t="s">
        <v>630</v>
      </c>
      <c r="G108">
        <v>4583</v>
      </c>
      <c r="H108">
        <v>5625</v>
      </c>
      <c r="I108">
        <v>255</v>
      </c>
      <c r="J108">
        <v>360</v>
      </c>
      <c r="K108">
        <v>1</v>
      </c>
      <c r="L108" t="s">
        <v>646</v>
      </c>
      <c r="M108" t="s">
        <v>633</v>
      </c>
    </row>
    <row r="109" spans="1:13" x14ac:dyDescent="0.3">
      <c r="A109" t="s">
        <v>800</v>
      </c>
      <c r="B109" t="s">
        <v>629</v>
      </c>
      <c r="C109" t="s">
        <v>635</v>
      </c>
      <c r="D109">
        <v>0</v>
      </c>
      <c r="E109" t="s">
        <v>640</v>
      </c>
      <c r="F109" t="s">
        <v>630</v>
      </c>
      <c r="G109">
        <v>1863</v>
      </c>
      <c r="H109">
        <v>1041</v>
      </c>
      <c r="I109">
        <v>98</v>
      </c>
      <c r="J109">
        <v>360</v>
      </c>
      <c r="K109">
        <v>1</v>
      </c>
      <c r="L109" t="s">
        <v>646</v>
      </c>
      <c r="M109" t="s">
        <v>633</v>
      </c>
    </row>
    <row r="110" spans="1:13" x14ac:dyDescent="0.3">
      <c r="A110" t="s">
        <v>801</v>
      </c>
      <c r="B110" t="s">
        <v>629</v>
      </c>
      <c r="C110" t="s">
        <v>635</v>
      </c>
      <c r="D110">
        <v>0</v>
      </c>
      <c r="E110" t="s">
        <v>631</v>
      </c>
      <c r="F110" t="s">
        <v>630</v>
      </c>
      <c r="G110">
        <v>7933</v>
      </c>
      <c r="H110">
        <v>0</v>
      </c>
      <c r="I110">
        <v>275</v>
      </c>
      <c r="J110">
        <v>360</v>
      </c>
      <c r="K110">
        <v>1</v>
      </c>
      <c r="L110" t="s">
        <v>632</v>
      </c>
      <c r="M110" t="s">
        <v>637</v>
      </c>
    </row>
    <row r="111" spans="1:13" x14ac:dyDescent="0.3">
      <c r="A111" t="s">
        <v>802</v>
      </c>
      <c r="B111" t="s">
        <v>629</v>
      </c>
      <c r="C111" t="s">
        <v>635</v>
      </c>
      <c r="D111">
        <v>1</v>
      </c>
      <c r="E111" t="s">
        <v>631</v>
      </c>
      <c r="F111" t="s">
        <v>630</v>
      </c>
      <c r="G111">
        <v>3089</v>
      </c>
      <c r="H111">
        <v>1280</v>
      </c>
      <c r="I111">
        <v>121</v>
      </c>
      <c r="J111">
        <v>360</v>
      </c>
      <c r="K111">
        <v>0</v>
      </c>
      <c r="L111" t="s">
        <v>646</v>
      </c>
      <c r="M111" t="s">
        <v>637</v>
      </c>
    </row>
    <row r="112" spans="1:13" x14ac:dyDescent="0.3">
      <c r="A112" t="s">
        <v>803</v>
      </c>
      <c r="B112" t="s">
        <v>629</v>
      </c>
      <c r="C112" t="s">
        <v>635</v>
      </c>
      <c r="D112">
        <v>2</v>
      </c>
      <c r="E112" t="s">
        <v>631</v>
      </c>
      <c r="F112" t="s">
        <v>630</v>
      </c>
      <c r="G112">
        <v>4167</v>
      </c>
      <c r="H112">
        <v>1447</v>
      </c>
      <c r="I112">
        <v>158</v>
      </c>
      <c r="J112">
        <v>360</v>
      </c>
      <c r="K112">
        <v>1</v>
      </c>
      <c r="L112" t="s">
        <v>636</v>
      </c>
      <c r="M112" t="s">
        <v>633</v>
      </c>
    </row>
    <row r="113" spans="1:13" x14ac:dyDescent="0.3">
      <c r="A113" t="s">
        <v>804</v>
      </c>
      <c r="B113" t="s">
        <v>629</v>
      </c>
      <c r="C113" t="s">
        <v>635</v>
      </c>
      <c r="D113">
        <v>0</v>
      </c>
      <c r="E113" t="s">
        <v>631</v>
      </c>
      <c r="F113" t="s">
        <v>630</v>
      </c>
      <c r="G113">
        <v>9323</v>
      </c>
      <c r="H113">
        <v>0</v>
      </c>
      <c r="I113">
        <v>75</v>
      </c>
      <c r="J113">
        <v>180</v>
      </c>
      <c r="K113">
        <v>1</v>
      </c>
      <c r="L113" t="s">
        <v>632</v>
      </c>
      <c r="M113" t="s">
        <v>633</v>
      </c>
    </row>
    <row r="114" spans="1:13" x14ac:dyDescent="0.3">
      <c r="A114" t="s">
        <v>806</v>
      </c>
      <c r="B114" t="s">
        <v>657</v>
      </c>
      <c r="C114" t="s">
        <v>635</v>
      </c>
      <c r="D114">
        <v>0</v>
      </c>
      <c r="E114" t="s">
        <v>631</v>
      </c>
      <c r="F114" t="s">
        <v>630</v>
      </c>
      <c r="G114">
        <v>4583</v>
      </c>
      <c r="H114">
        <v>0</v>
      </c>
      <c r="I114">
        <v>112</v>
      </c>
      <c r="J114">
        <v>360</v>
      </c>
      <c r="K114">
        <v>1</v>
      </c>
      <c r="L114" t="s">
        <v>636</v>
      </c>
      <c r="M114" t="s">
        <v>637</v>
      </c>
    </row>
    <row r="115" spans="1:13" x14ac:dyDescent="0.3">
      <c r="A115" t="s">
        <v>807</v>
      </c>
      <c r="B115" t="s">
        <v>629</v>
      </c>
      <c r="C115" t="s">
        <v>635</v>
      </c>
      <c r="D115">
        <v>0</v>
      </c>
      <c r="E115" t="s">
        <v>631</v>
      </c>
      <c r="F115" t="s">
        <v>630</v>
      </c>
      <c r="G115">
        <v>2439</v>
      </c>
      <c r="H115">
        <v>3333</v>
      </c>
      <c r="I115">
        <v>129</v>
      </c>
      <c r="J115">
        <v>360</v>
      </c>
      <c r="K115">
        <v>1</v>
      </c>
      <c r="L115" t="s">
        <v>636</v>
      </c>
      <c r="M115" t="s">
        <v>633</v>
      </c>
    </row>
    <row r="116" spans="1:13" x14ac:dyDescent="0.3">
      <c r="A116" t="s">
        <v>808</v>
      </c>
      <c r="B116" t="s">
        <v>629</v>
      </c>
      <c r="C116" t="s">
        <v>630</v>
      </c>
      <c r="D116">
        <v>0</v>
      </c>
      <c r="E116" t="s">
        <v>631</v>
      </c>
      <c r="F116" t="s">
        <v>630</v>
      </c>
      <c r="G116">
        <v>2237</v>
      </c>
      <c r="H116">
        <v>0</v>
      </c>
      <c r="I116">
        <v>63</v>
      </c>
      <c r="J116">
        <v>480</v>
      </c>
      <c r="K116">
        <v>0</v>
      </c>
      <c r="L116" t="s">
        <v>646</v>
      </c>
      <c r="M116" t="s">
        <v>637</v>
      </c>
    </row>
    <row r="117" spans="1:13" x14ac:dyDescent="0.3">
      <c r="A117" t="s">
        <v>809</v>
      </c>
      <c r="B117" t="s">
        <v>629</v>
      </c>
      <c r="C117" t="s">
        <v>635</v>
      </c>
      <c r="D117">
        <v>2</v>
      </c>
      <c r="E117" t="s">
        <v>631</v>
      </c>
      <c r="F117" t="s">
        <v>630</v>
      </c>
      <c r="G117">
        <v>8000</v>
      </c>
      <c r="H117">
        <v>0</v>
      </c>
      <c r="I117">
        <v>200</v>
      </c>
      <c r="J117">
        <v>360</v>
      </c>
      <c r="K117">
        <v>1</v>
      </c>
      <c r="L117" t="s">
        <v>646</v>
      </c>
      <c r="M117" t="s">
        <v>633</v>
      </c>
    </row>
    <row r="118" spans="1:13" x14ac:dyDescent="0.3">
      <c r="A118" t="s">
        <v>812</v>
      </c>
      <c r="B118" t="s">
        <v>629</v>
      </c>
      <c r="C118" t="s">
        <v>635</v>
      </c>
      <c r="D118" t="s">
        <v>645</v>
      </c>
      <c r="E118" t="s">
        <v>640</v>
      </c>
      <c r="F118" t="s">
        <v>630</v>
      </c>
      <c r="G118">
        <v>3522</v>
      </c>
      <c r="H118">
        <v>0</v>
      </c>
      <c r="I118">
        <v>81</v>
      </c>
      <c r="J118">
        <v>180</v>
      </c>
      <c r="K118">
        <v>1</v>
      </c>
      <c r="L118" t="s">
        <v>636</v>
      </c>
      <c r="M118" t="s">
        <v>637</v>
      </c>
    </row>
    <row r="119" spans="1:13" x14ac:dyDescent="0.3">
      <c r="A119" t="s">
        <v>813</v>
      </c>
      <c r="B119" t="s">
        <v>629</v>
      </c>
      <c r="C119" t="s">
        <v>635</v>
      </c>
      <c r="D119">
        <v>0</v>
      </c>
      <c r="E119" t="s">
        <v>631</v>
      </c>
      <c r="F119" t="s">
        <v>630</v>
      </c>
      <c r="G119">
        <v>5708</v>
      </c>
      <c r="H119">
        <v>5625</v>
      </c>
      <c r="I119">
        <v>187</v>
      </c>
      <c r="J119">
        <v>360</v>
      </c>
      <c r="K119">
        <v>1</v>
      </c>
      <c r="L119" t="s">
        <v>646</v>
      </c>
      <c r="M119" t="s">
        <v>633</v>
      </c>
    </row>
    <row r="120" spans="1:13" x14ac:dyDescent="0.3">
      <c r="A120" t="s">
        <v>814</v>
      </c>
      <c r="B120" t="s">
        <v>629</v>
      </c>
      <c r="C120" t="s">
        <v>635</v>
      </c>
      <c r="D120">
        <v>0</v>
      </c>
      <c r="E120" t="s">
        <v>640</v>
      </c>
      <c r="F120" t="s">
        <v>635</v>
      </c>
      <c r="G120">
        <v>4344</v>
      </c>
      <c r="H120">
        <v>736</v>
      </c>
      <c r="I120">
        <v>87</v>
      </c>
      <c r="J120">
        <v>360</v>
      </c>
      <c r="K120">
        <v>1</v>
      </c>
      <c r="L120" t="s">
        <v>646</v>
      </c>
      <c r="M120" t="s">
        <v>637</v>
      </c>
    </row>
    <row r="121" spans="1:13" x14ac:dyDescent="0.3">
      <c r="A121" t="s">
        <v>815</v>
      </c>
      <c r="B121" t="s">
        <v>629</v>
      </c>
      <c r="C121" t="s">
        <v>635</v>
      </c>
      <c r="D121">
        <v>0</v>
      </c>
      <c r="E121" t="s">
        <v>631</v>
      </c>
      <c r="F121" t="s">
        <v>630</v>
      </c>
      <c r="G121">
        <v>3497</v>
      </c>
      <c r="H121">
        <v>1964</v>
      </c>
      <c r="I121">
        <v>116</v>
      </c>
      <c r="J121">
        <v>360</v>
      </c>
      <c r="K121">
        <v>1</v>
      </c>
      <c r="L121" t="s">
        <v>636</v>
      </c>
      <c r="M121" t="s">
        <v>633</v>
      </c>
    </row>
    <row r="122" spans="1:13" x14ac:dyDescent="0.3">
      <c r="A122" t="s">
        <v>816</v>
      </c>
      <c r="B122" t="s">
        <v>629</v>
      </c>
      <c r="C122" t="s">
        <v>635</v>
      </c>
      <c r="D122">
        <v>2</v>
      </c>
      <c r="E122" t="s">
        <v>631</v>
      </c>
      <c r="F122" t="s">
        <v>630</v>
      </c>
      <c r="G122">
        <v>2045</v>
      </c>
      <c r="H122">
        <v>1619</v>
      </c>
      <c r="I122">
        <v>101</v>
      </c>
      <c r="J122">
        <v>360</v>
      </c>
      <c r="K122">
        <v>1</v>
      </c>
      <c r="L122" t="s">
        <v>636</v>
      </c>
      <c r="M122" t="s">
        <v>633</v>
      </c>
    </row>
    <row r="123" spans="1:13" x14ac:dyDescent="0.3">
      <c r="A123" t="s">
        <v>818</v>
      </c>
      <c r="B123" t="s">
        <v>629</v>
      </c>
      <c r="C123" t="s">
        <v>635</v>
      </c>
      <c r="D123">
        <v>1</v>
      </c>
      <c r="E123" t="s">
        <v>631</v>
      </c>
      <c r="F123" t="s">
        <v>630</v>
      </c>
      <c r="G123">
        <v>3750</v>
      </c>
      <c r="H123">
        <v>0</v>
      </c>
      <c r="I123">
        <v>116</v>
      </c>
      <c r="J123">
        <v>360</v>
      </c>
      <c r="K123">
        <v>1</v>
      </c>
      <c r="L123" t="s">
        <v>646</v>
      </c>
      <c r="M123" t="s">
        <v>633</v>
      </c>
    </row>
    <row r="124" spans="1:13" x14ac:dyDescent="0.3">
      <c r="A124" t="s">
        <v>819</v>
      </c>
      <c r="B124" t="s">
        <v>629</v>
      </c>
      <c r="C124" t="s">
        <v>630</v>
      </c>
      <c r="D124">
        <v>0</v>
      </c>
      <c r="E124" t="s">
        <v>640</v>
      </c>
      <c r="F124" t="s">
        <v>630</v>
      </c>
      <c r="G124">
        <v>2333</v>
      </c>
      <c r="H124">
        <v>1451</v>
      </c>
      <c r="I124">
        <v>102</v>
      </c>
      <c r="J124">
        <v>480</v>
      </c>
      <c r="K124">
        <v>0</v>
      </c>
      <c r="L124" t="s">
        <v>632</v>
      </c>
      <c r="M124" t="s">
        <v>637</v>
      </c>
    </row>
    <row r="125" spans="1:13" x14ac:dyDescent="0.3">
      <c r="A125" t="s">
        <v>820</v>
      </c>
      <c r="B125" t="s">
        <v>629</v>
      </c>
      <c r="C125" t="s">
        <v>635</v>
      </c>
      <c r="D125">
        <v>1</v>
      </c>
      <c r="E125" t="s">
        <v>631</v>
      </c>
      <c r="F125" t="s">
        <v>630</v>
      </c>
      <c r="G125">
        <v>6400</v>
      </c>
      <c r="H125">
        <v>7250</v>
      </c>
      <c r="I125">
        <v>180</v>
      </c>
      <c r="J125">
        <v>360</v>
      </c>
      <c r="K125">
        <v>0</v>
      </c>
      <c r="L125" t="s">
        <v>632</v>
      </c>
      <c r="M125" t="s">
        <v>637</v>
      </c>
    </row>
    <row r="126" spans="1:13" x14ac:dyDescent="0.3">
      <c r="A126" t="s">
        <v>822</v>
      </c>
      <c r="B126" t="s">
        <v>629</v>
      </c>
      <c r="C126" t="s">
        <v>635</v>
      </c>
      <c r="D126">
        <v>0</v>
      </c>
      <c r="E126" t="s">
        <v>631</v>
      </c>
      <c r="F126" t="s">
        <v>630</v>
      </c>
      <c r="G126">
        <v>4600</v>
      </c>
      <c r="H126">
        <v>0</v>
      </c>
      <c r="I126">
        <v>73</v>
      </c>
      <c r="J126">
        <v>180</v>
      </c>
      <c r="K126">
        <v>1</v>
      </c>
      <c r="L126" t="s">
        <v>646</v>
      </c>
      <c r="M126" t="s">
        <v>633</v>
      </c>
    </row>
    <row r="127" spans="1:13" x14ac:dyDescent="0.3">
      <c r="A127" t="s">
        <v>823</v>
      </c>
      <c r="B127" t="s">
        <v>629</v>
      </c>
      <c r="C127" t="s">
        <v>635</v>
      </c>
      <c r="D127">
        <v>1</v>
      </c>
      <c r="E127" t="s">
        <v>631</v>
      </c>
      <c r="F127" t="s">
        <v>630</v>
      </c>
      <c r="G127">
        <v>33846</v>
      </c>
      <c r="H127">
        <v>0</v>
      </c>
      <c r="I127">
        <v>260</v>
      </c>
      <c r="J127">
        <v>360</v>
      </c>
      <c r="K127">
        <v>1</v>
      </c>
      <c r="L127" t="s">
        <v>646</v>
      </c>
      <c r="M127" t="s">
        <v>637</v>
      </c>
    </row>
    <row r="128" spans="1:13" x14ac:dyDescent="0.3">
      <c r="A128" t="s">
        <v>824</v>
      </c>
      <c r="B128" t="s">
        <v>657</v>
      </c>
      <c r="C128" t="s">
        <v>635</v>
      </c>
      <c r="D128">
        <v>0</v>
      </c>
      <c r="E128" t="s">
        <v>631</v>
      </c>
      <c r="F128" t="s">
        <v>630</v>
      </c>
      <c r="G128">
        <v>3625</v>
      </c>
      <c r="H128">
        <v>0</v>
      </c>
      <c r="I128">
        <v>108</v>
      </c>
      <c r="J128">
        <v>360</v>
      </c>
      <c r="K128">
        <v>1</v>
      </c>
      <c r="L128" t="s">
        <v>646</v>
      </c>
      <c r="M128" t="s">
        <v>633</v>
      </c>
    </row>
    <row r="129" spans="1:13" x14ac:dyDescent="0.3">
      <c r="A129" t="s">
        <v>825</v>
      </c>
      <c r="B129" t="s">
        <v>629</v>
      </c>
      <c r="C129" t="s">
        <v>635</v>
      </c>
      <c r="D129">
        <v>0</v>
      </c>
      <c r="E129" t="s">
        <v>631</v>
      </c>
      <c r="F129" t="s">
        <v>635</v>
      </c>
      <c r="G129">
        <v>39147</v>
      </c>
      <c r="H129">
        <v>4750</v>
      </c>
      <c r="I129">
        <v>120</v>
      </c>
      <c r="J129">
        <v>360</v>
      </c>
      <c r="K129">
        <v>1</v>
      </c>
      <c r="L129" t="s">
        <v>646</v>
      </c>
      <c r="M129" t="s">
        <v>633</v>
      </c>
    </row>
    <row r="130" spans="1:13" x14ac:dyDescent="0.3">
      <c r="A130" t="s">
        <v>826</v>
      </c>
      <c r="B130" t="s">
        <v>629</v>
      </c>
      <c r="C130" t="s">
        <v>635</v>
      </c>
      <c r="D130">
        <v>1</v>
      </c>
      <c r="E130" t="s">
        <v>631</v>
      </c>
      <c r="F130" t="s">
        <v>635</v>
      </c>
      <c r="G130">
        <v>2178</v>
      </c>
      <c r="H130">
        <v>0</v>
      </c>
      <c r="I130">
        <v>66</v>
      </c>
      <c r="J130">
        <v>300</v>
      </c>
      <c r="K130">
        <v>0</v>
      </c>
      <c r="L130" t="s">
        <v>636</v>
      </c>
      <c r="M130" t="s">
        <v>637</v>
      </c>
    </row>
    <row r="131" spans="1:13" x14ac:dyDescent="0.3">
      <c r="A131" t="s">
        <v>829</v>
      </c>
      <c r="B131" t="s">
        <v>629</v>
      </c>
      <c r="C131" t="s">
        <v>635</v>
      </c>
      <c r="D131">
        <v>0</v>
      </c>
      <c r="E131" t="s">
        <v>631</v>
      </c>
      <c r="F131" t="s">
        <v>630</v>
      </c>
      <c r="G131">
        <v>9328</v>
      </c>
      <c r="H131">
        <v>0</v>
      </c>
      <c r="I131">
        <v>188</v>
      </c>
      <c r="J131">
        <v>180</v>
      </c>
      <c r="K131">
        <v>1</v>
      </c>
      <c r="L131" t="s">
        <v>636</v>
      </c>
      <c r="M131" t="s">
        <v>633</v>
      </c>
    </row>
    <row r="132" spans="1:13" x14ac:dyDescent="0.3">
      <c r="A132" t="s">
        <v>830</v>
      </c>
      <c r="B132" t="s">
        <v>629</v>
      </c>
      <c r="C132" t="s">
        <v>630</v>
      </c>
      <c r="D132">
        <v>0</v>
      </c>
      <c r="E132" t="s">
        <v>640</v>
      </c>
      <c r="F132" t="s">
        <v>630</v>
      </c>
      <c r="G132">
        <v>4885</v>
      </c>
      <c r="H132">
        <v>0</v>
      </c>
      <c r="I132">
        <v>48</v>
      </c>
      <c r="J132">
        <v>360</v>
      </c>
      <c r="K132">
        <v>1</v>
      </c>
      <c r="L132" t="s">
        <v>636</v>
      </c>
      <c r="M132" t="s">
        <v>633</v>
      </c>
    </row>
    <row r="133" spans="1:13" x14ac:dyDescent="0.3">
      <c r="A133" t="s">
        <v>831</v>
      </c>
      <c r="B133" t="s">
        <v>629</v>
      </c>
      <c r="C133" t="s">
        <v>630</v>
      </c>
      <c r="D133">
        <v>0</v>
      </c>
      <c r="E133" t="s">
        <v>631</v>
      </c>
      <c r="F133" t="s">
        <v>630</v>
      </c>
      <c r="G133">
        <v>12000</v>
      </c>
      <c r="H133">
        <v>0</v>
      </c>
      <c r="I133">
        <v>164</v>
      </c>
      <c r="J133">
        <v>360</v>
      </c>
      <c r="K133">
        <v>1</v>
      </c>
      <c r="L133" t="s">
        <v>646</v>
      </c>
      <c r="M133" t="s">
        <v>637</v>
      </c>
    </row>
    <row r="134" spans="1:13" x14ac:dyDescent="0.3">
      <c r="A134" t="s">
        <v>832</v>
      </c>
      <c r="B134" t="s">
        <v>629</v>
      </c>
      <c r="C134" t="s">
        <v>635</v>
      </c>
      <c r="D134">
        <v>0</v>
      </c>
      <c r="E134" t="s">
        <v>640</v>
      </c>
      <c r="F134" t="s">
        <v>630</v>
      </c>
      <c r="G134">
        <v>6033</v>
      </c>
      <c r="H134">
        <v>0</v>
      </c>
      <c r="I134">
        <v>160</v>
      </c>
      <c r="J134">
        <v>360</v>
      </c>
      <c r="K134">
        <v>1</v>
      </c>
      <c r="L134" t="s">
        <v>632</v>
      </c>
      <c r="M134" t="s">
        <v>637</v>
      </c>
    </row>
    <row r="135" spans="1:13" x14ac:dyDescent="0.3">
      <c r="A135" t="s">
        <v>833</v>
      </c>
      <c r="B135" t="s">
        <v>629</v>
      </c>
      <c r="C135" t="s">
        <v>630</v>
      </c>
      <c r="D135">
        <v>0</v>
      </c>
      <c r="E135" t="s">
        <v>631</v>
      </c>
      <c r="F135" t="s">
        <v>630</v>
      </c>
      <c r="G135">
        <v>3858</v>
      </c>
      <c r="H135">
        <v>0</v>
      </c>
      <c r="I135">
        <v>76</v>
      </c>
      <c r="J135">
        <v>360</v>
      </c>
      <c r="K135">
        <v>1</v>
      </c>
      <c r="L135" t="s">
        <v>646</v>
      </c>
      <c r="M135" t="s">
        <v>633</v>
      </c>
    </row>
    <row r="136" spans="1:13" x14ac:dyDescent="0.3">
      <c r="A136" t="s">
        <v>834</v>
      </c>
      <c r="B136" t="s">
        <v>629</v>
      </c>
      <c r="C136" t="s">
        <v>630</v>
      </c>
      <c r="D136">
        <v>0</v>
      </c>
      <c r="E136" t="s">
        <v>631</v>
      </c>
      <c r="F136" t="s">
        <v>630</v>
      </c>
      <c r="G136">
        <v>4191</v>
      </c>
      <c r="H136">
        <v>0</v>
      </c>
      <c r="I136">
        <v>120</v>
      </c>
      <c r="J136">
        <v>360</v>
      </c>
      <c r="K136">
        <v>1</v>
      </c>
      <c r="L136" t="s">
        <v>636</v>
      </c>
      <c r="M136" t="s">
        <v>633</v>
      </c>
    </row>
    <row r="137" spans="1:13" x14ac:dyDescent="0.3">
      <c r="A137" t="s">
        <v>835</v>
      </c>
      <c r="B137" t="s">
        <v>629</v>
      </c>
      <c r="C137" t="s">
        <v>635</v>
      </c>
      <c r="D137">
        <v>1</v>
      </c>
      <c r="E137" t="s">
        <v>631</v>
      </c>
      <c r="F137" t="s">
        <v>630</v>
      </c>
      <c r="G137">
        <v>3125</v>
      </c>
      <c r="H137">
        <v>2583</v>
      </c>
      <c r="I137">
        <v>170</v>
      </c>
      <c r="J137">
        <v>360</v>
      </c>
      <c r="K137">
        <v>1</v>
      </c>
      <c r="L137" t="s">
        <v>646</v>
      </c>
      <c r="M137" t="s">
        <v>637</v>
      </c>
    </row>
    <row r="138" spans="1:13" x14ac:dyDescent="0.3">
      <c r="A138" t="s">
        <v>836</v>
      </c>
      <c r="B138" t="s">
        <v>629</v>
      </c>
      <c r="C138" t="s">
        <v>630</v>
      </c>
      <c r="D138">
        <v>0</v>
      </c>
      <c r="E138" t="s">
        <v>631</v>
      </c>
      <c r="F138" t="s">
        <v>630</v>
      </c>
      <c r="G138">
        <v>8333</v>
      </c>
      <c r="H138">
        <v>3750</v>
      </c>
      <c r="I138">
        <v>187</v>
      </c>
      <c r="J138">
        <v>360</v>
      </c>
      <c r="K138">
        <v>1</v>
      </c>
      <c r="L138" t="s">
        <v>636</v>
      </c>
      <c r="M138" t="s">
        <v>633</v>
      </c>
    </row>
    <row r="139" spans="1:13" x14ac:dyDescent="0.3">
      <c r="A139" t="s">
        <v>839</v>
      </c>
      <c r="B139" t="s">
        <v>629</v>
      </c>
      <c r="C139" t="s">
        <v>630</v>
      </c>
      <c r="D139">
        <v>0</v>
      </c>
      <c r="E139" t="s">
        <v>631</v>
      </c>
      <c r="F139" t="s">
        <v>635</v>
      </c>
      <c r="G139">
        <v>11000</v>
      </c>
      <c r="H139">
        <v>0</v>
      </c>
      <c r="I139">
        <v>83</v>
      </c>
      <c r="J139">
        <v>360</v>
      </c>
      <c r="K139">
        <v>1</v>
      </c>
      <c r="L139" t="s">
        <v>632</v>
      </c>
      <c r="M139" t="s">
        <v>637</v>
      </c>
    </row>
    <row r="140" spans="1:13" x14ac:dyDescent="0.3">
      <c r="A140" t="s">
        <v>840</v>
      </c>
      <c r="B140" t="s">
        <v>629</v>
      </c>
      <c r="C140" t="s">
        <v>635</v>
      </c>
      <c r="D140">
        <v>1</v>
      </c>
      <c r="E140" t="s">
        <v>640</v>
      </c>
      <c r="F140" t="s">
        <v>630</v>
      </c>
      <c r="G140">
        <v>2600</v>
      </c>
      <c r="H140">
        <v>2500</v>
      </c>
      <c r="I140">
        <v>90</v>
      </c>
      <c r="J140">
        <v>360</v>
      </c>
      <c r="K140">
        <v>1</v>
      </c>
      <c r="L140" t="s">
        <v>646</v>
      </c>
      <c r="M140" t="s">
        <v>633</v>
      </c>
    </row>
    <row r="141" spans="1:13" x14ac:dyDescent="0.3">
      <c r="A141" t="s">
        <v>841</v>
      </c>
      <c r="B141" t="s">
        <v>629</v>
      </c>
      <c r="C141" t="s">
        <v>630</v>
      </c>
      <c r="D141">
        <v>2</v>
      </c>
      <c r="E141" t="s">
        <v>631</v>
      </c>
      <c r="F141" t="s">
        <v>630</v>
      </c>
      <c r="G141">
        <v>4923</v>
      </c>
      <c r="H141">
        <v>0</v>
      </c>
      <c r="I141">
        <v>166</v>
      </c>
      <c r="J141">
        <v>360</v>
      </c>
      <c r="K141">
        <v>0</v>
      </c>
      <c r="L141" t="s">
        <v>646</v>
      </c>
      <c r="M141" t="s">
        <v>633</v>
      </c>
    </row>
    <row r="142" spans="1:13" x14ac:dyDescent="0.3">
      <c r="A142" t="s">
        <v>843</v>
      </c>
      <c r="B142" t="s">
        <v>629</v>
      </c>
      <c r="C142" t="s">
        <v>635</v>
      </c>
      <c r="D142">
        <v>1</v>
      </c>
      <c r="E142" t="s">
        <v>640</v>
      </c>
      <c r="F142" t="s">
        <v>630</v>
      </c>
      <c r="G142">
        <v>3500</v>
      </c>
      <c r="H142">
        <v>1083</v>
      </c>
      <c r="I142">
        <v>135</v>
      </c>
      <c r="J142">
        <v>360</v>
      </c>
      <c r="K142">
        <v>1</v>
      </c>
      <c r="L142" t="s">
        <v>632</v>
      </c>
      <c r="M142" t="s">
        <v>633</v>
      </c>
    </row>
    <row r="143" spans="1:13" x14ac:dyDescent="0.3">
      <c r="A143" t="s">
        <v>844</v>
      </c>
      <c r="B143" t="s">
        <v>629</v>
      </c>
      <c r="C143" t="s">
        <v>635</v>
      </c>
      <c r="D143">
        <v>2</v>
      </c>
      <c r="E143" t="s">
        <v>640</v>
      </c>
      <c r="F143" t="s">
        <v>630</v>
      </c>
      <c r="G143">
        <v>3917</v>
      </c>
      <c r="H143">
        <v>0</v>
      </c>
      <c r="I143">
        <v>124</v>
      </c>
      <c r="J143">
        <v>360</v>
      </c>
      <c r="K143">
        <v>1</v>
      </c>
      <c r="L143" t="s">
        <v>646</v>
      </c>
      <c r="M143" t="s">
        <v>633</v>
      </c>
    </row>
    <row r="144" spans="1:13" x14ac:dyDescent="0.3">
      <c r="A144" t="s">
        <v>845</v>
      </c>
      <c r="B144" t="s">
        <v>657</v>
      </c>
      <c r="C144" t="s">
        <v>630</v>
      </c>
      <c r="D144">
        <v>0</v>
      </c>
      <c r="E144" t="s">
        <v>640</v>
      </c>
      <c r="F144" t="s">
        <v>630</v>
      </c>
      <c r="G144">
        <v>4408</v>
      </c>
      <c r="H144">
        <v>0</v>
      </c>
      <c r="I144">
        <v>120</v>
      </c>
      <c r="J144">
        <v>360</v>
      </c>
      <c r="K144">
        <v>1</v>
      </c>
      <c r="L144" t="s">
        <v>646</v>
      </c>
      <c r="M144" t="s">
        <v>633</v>
      </c>
    </row>
    <row r="145" spans="1:13" x14ac:dyDescent="0.3">
      <c r="A145" t="s">
        <v>846</v>
      </c>
      <c r="B145" t="s">
        <v>657</v>
      </c>
      <c r="C145" t="s">
        <v>630</v>
      </c>
      <c r="D145">
        <v>0</v>
      </c>
      <c r="E145" t="s">
        <v>631</v>
      </c>
      <c r="F145" t="s">
        <v>630</v>
      </c>
      <c r="G145">
        <v>3244</v>
      </c>
      <c r="H145">
        <v>0</v>
      </c>
      <c r="I145">
        <v>80</v>
      </c>
      <c r="J145">
        <v>360</v>
      </c>
      <c r="K145">
        <v>1</v>
      </c>
      <c r="L145" t="s">
        <v>632</v>
      </c>
      <c r="M145" t="s">
        <v>633</v>
      </c>
    </row>
    <row r="146" spans="1:13" x14ac:dyDescent="0.3">
      <c r="A146" t="s">
        <v>847</v>
      </c>
      <c r="B146" t="s">
        <v>629</v>
      </c>
      <c r="C146" t="s">
        <v>630</v>
      </c>
      <c r="D146">
        <v>0</v>
      </c>
      <c r="E146" t="s">
        <v>640</v>
      </c>
      <c r="F146" t="s">
        <v>630</v>
      </c>
      <c r="G146">
        <v>3975</v>
      </c>
      <c r="H146">
        <v>2531</v>
      </c>
      <c r="I146">
        <v>55</v>
      </c>
      <c r="J146">
        <v>360</v>
      </c>
      <c r="K146">
        <v>1</v>
      </c>
      <c r="L146" t="s">
        <v>636</v>
      </c>
      <c r="M146" t="s">
        <v>633</v>
      </c>
    </row>
    <row r="147" spans="1:13" x14ac:dyDescent="0.3">
      <c r="A147" t="s">
        <v>848</v>
      </c>
      <c r="B147" t="s">
        <v>629</v>
      </c>
      <c r="C147" t="s">
        <v>630</v>
      </c>
      <c r="D147">
        <v>0</v>
      </c>
      <c r="E147" t="s">
        <v>631</v>
      </c>
      <c r="F147" t="s">
        <v>630</v>
      </c>
      <c r="G147">
        <v>2479</v>
      </c>
      <c r="H147">
        <v>0</v>
      </c>
      <c r="I147">
        <v>59</v>
      </c>
      <c r="J147">
        <v>360</v>
      </c>
      <c r="K147">
        <v>1</v>
      </c>
      <c r="L147" t="s">
        <v>632</v>
      </c>
      <c r="M147" t="s">
        <v>633</v>
      </c>
    </row>
    <row r="148" spans="1:13" x14ac:dyDescent="0.3">
      <c r="A148" t="s">
        <v>849</v>
      </c>
      <c r="B148" t="s">
        <v>629</v>
      </c>
      <c r="C148" t="s">
        <v>630</v>
      </c>
      <c r="D148">
        <v>0</v>
      </c>
      <c r="E148" t="s">
        <v>631</v>
      </c>
      <c r="F148" t="s">
        <v>630</v>
      </c>
      <c r="G148">
        <v>3418</v>
      </c>
      <c r="H148">
        <v>0</v>
      </c>
      <c r="I148">
        <v>127</v>
      </c>
      <c r="J148">
        <v>360</v>
      </c>
      <c r="K148">
        <v>1</v>
      </c>
      <c r="L148" t="s">
        <v>646</v>
      </c>
      <c r="M148" t="s">
        <v>637</v>
      </c>
    </row>
    <row r="149" spans="1:13" x14ac:dyDescent="0.3">
      <c r="A149" t="s">
        <v>850</v>
      </c>
      <c r="B149" t="s">
        <v>657</v>
      </c>
      <c r="C149" t="s">
        <v>630</v>
      </c>
      <c r="D149">
        <v>0</v>
      </c>
      <c r="E149" t="s">
        <v>631</v>
      </c>
      <c r="F149" t="s">
        <v>630</v>
      </c>
      <c r="G149">
        <v>10000</v>
      </c>
      <c r="H149">
        <v>0</v>
      </c>
      <c r="I149">
        <v>214</v>
      </c>
      <c r="J149">
        <v>360</v>
      </c>
      <c r="K149">
        <v>1</v>
      </c>
      <c r="L149" t="s">
        <v>646</v>
      </c>
      <c r="M149" t="s">
        <v>637</v>
      </c>
    </row>
    <row r="150" spans="1:13" x14ac:dyDescent="0.3">
      <c r="A150" t="s">
        <v>851</v>
      </c>
      <c r="B150" t="s">
        <v>629</v>
      </c>
      <c r="C150" t="s">
        <v>635</v>
      </c>
      <c r="D150" t="s">
        <v>645</v>
      </c>
      <c r="E150" t="s">
        <v>631</v>
      </c>
      <c r="F150" t="s">
        <v>630</v>
      </c>
      <c r="G150">
        <v>3430</v>
      </c>
      <c r="H150">
        <v>1250</v>
      </c>
      <c r="I150">
        <v>128</v>
      </c>
      <c r="J150">
        <v>360</v>
      </c>
      <c r="K150">
        <v>0</v>
      </c>
      <c r="L150" t="s">
        <v>646</v>
      </c>
      <c r="M150" t="s">
        <v>637</v>
      </c>
    </row>
    <row r="151" spans="1:13" x14ac:dyDescent="0.3">
      <c r="A151" t="s">
        <v>852</v>
      </c>
      <c r="B151" t="s">
        <v>629</v>
      </c>
      <c r="C151" t="s">
        <v>635</v>
      </c>
      <c r="D151">
        <v>1</v>
      </c>
      <c r="E151" t="s">
        <v>631</v>
      </c>
      <c r="F151" t="s">
        <v>635</v>
      </c>
      <c r="G151">
        <v>7787</v>
      </c>
      <c r="H151">
        <v>0</v>
      </c>
      <c r="I151">
        <v>240</v>
      </c>
      <c r="J151">
        <v>360</v>
      </c>
      <c r="K151">
        <v>1</v>
      </c>
      <c r="L151" t="s">
        <v>632</v>
      </c>
      <c r="M151" t="s">
        <v>633</v>
      </c>
    </row>
    <row r="152" spans="1:13" x14ac:dyDescent="0.3">
      <c r="A152" t="s">
        <v>853</v>
      </c>
      <c r="B152" t="s">
        <v>629</v>
      </c>
      <c r="C152" t="s">
        <v>635</v>
      </c>
      <c r="D152" t="s">
        <v>645</v>
      </c>
      <c r="E152" t="s">
        <v>640</v>
      </c>
      <c r="F152" t="s">
        <v>635</v>
      </c>
      <c r="G152">
        <v>5703</v>
      </c>
      <c r="H152">
        <v>0</v>
      </c>
      <c r="I152">
        <v>130</v>
      </c>
      <c r="J152">
        <v>360</v>
      </c>
      <c r="K152">
        <v>1</v>
      </c>
      <c r="L152" t="s">
        <v>636</v>
      </c>
      <c r="M152" t="s">
        <v>633</v>
      </c>
    </row>
    <row r="153" spans="1:13" x14ac:dyDescent="0.3">
      <c r="A153" t="s">
        <v>854</v>
      </c>
      <c r="B153" t="s">
        <v>629</v>
      </c>
      <c r="C153" t="s">
        <v>635</v>
      </c>
      <c r="D153">
        <v>0</v>
      </c>
      <c r="E153" t="s">
        <v>631</v>
      </c>
      <c r="F153" t="s">
        <v>630</v>
      </c>
      <c r="G153">
        <v>3173</v>
      </c>
      <c r="H153">
        <v>3021</v>
      </c>
      <c r="I153">
        <v>137</v>
      </c>
      <c r="J153">
        <v>360</v>
      </c>
      <c r="K153">
        <v>1</v>
      </c>
      <c r="L153" t="s">
        <v>632</v>
      </c>
      <c r="M153" t="s">
        <v>633</v>
      </c>
    </row>
    <row r="154" spans="1:13" x14ac:dyDescent="0.3">
      <c r="A154" t="s">
        <v>855</v>
      </c>
      <c r="B154" t="s">
        <v>629</v>
      </c>
      <c r="C154" t="s">
        <v>635</v>
      </c>
      <c r="D154" t="s">
        <v>645</v>
      </c>
      <c r="E154" t="s">
        <v>640</v>
      </c>
      <c r="F154" t="s">
        <v>630</v>
      </c>
      <c r="G154">
        <v>3850</v>
      </c>
      <c r="H154">
        <v>983</v>
      </c>
      <c r="I154">
        <v>100</v>
      </c>
      <c r="J154">
        <v>360</v>
      </c>
      <c r="K154">
        <v>1</v>
      </c>
      <c r="L154" t="s">
        <v>646</v>
      </c>
      <c r="M154" t="s">
        <v>633</v>
      </c>
    </row>
    <row r="155" spans="1:13" x14ac:dyDescent="0.3">
      <c r="A155" t="s">
        <v>856</v>
      </c>
      <c r="B155" t="s">
        <v>629</v>
      </c>
      <c r="C155" t="s">
        <v>635</v>
      </c>
      <c r="D155">
        <v>0</v>
      </c>
      <c r="E155" t="s">
        <v>631</v>
      </c>
      <c r="F155" t="s">
        <v>630</v>
      </c>
      <c r="G155">
        <v>150</v>
      </c>
      <c r="H155">
        <v>1800</v>
      </c>
      <c r="I155">
        <v>135</v>
      </c>
      <c r="J155">
        <v>360</v>
      </c>
      <c r="K155">
        <v>1</v>
      </c>
      <c r="L155" t="s">
        <v>636</v>
      </c>
      <c r="M155" t="s">
        <v>637</v>
      </c>
    </row>
    <row r="156" spans="1:13" x14ac:dyDescent="0.3">
      <c r="A156" t="s">
        <v>857</v>
      </c>
      <c r="B156" t="s">
        <v>629</v>
      </c>
      <c r="C156" t="s">
        <v>635</v>
      </c>
      <c r="D156">
        <v>0</v>
      </c>
      <c r="E156" t="s">
        <v>631</v>
      </c>
      <c r="F156" t="s">
        <v>630</v>
      </c>
      <c r="G156">
        <v>3727</v>
      </c>
      <c r="H156">
        <v>1775</v>
      </c>
      <c r="I156">
        <v>131</v>
      </c>
      <c r="J156">
        <v>360</v>
      </c>
      <c r="K156">
        <v>1</v>
      </c>
      <c r="L156" t="s">
        <v>646</v>
      </c>
      <c r="M156" t="s">
        <v>633</v>
      </c>
    </row>
    <row r="157" spans="1:13" x14ac:dyDescent="0.3">
      <c r="A157" t="s">
        <v>860</v>
      </c>
      <c r="B157" t="s">
        <v>629</v>
      </c>
      <c r="C157" t="s">
        <v>635</v>
      </c>
      <c r="D157">
        <v>0</v>
      </c>
      <c r="E157" t="s">
        <v>631</v>
      </c>
      <c r="F157" t="s">
        <v>630</v>
      </c>
      <c r="G157">
        <v>2221</v>
      </c>
      <c r="H157">
        <v>0</v>
      </c>
      <c r="I157">
        <v>60</v>
      </c>
      <c r="J157">
        <v>360</v>
      </c>
      <c r="K157">
        <v>0</v>
      </c>
      <c r="L157" t="s">
        <v>632</v>
      </c>
      <c r="M157" t="s">
        <v>637</v>
      </c>
    </row>
    <row r="158" spans="1:13" x14ac:dyDescent="0.3">
      <c r="A158" t="s">
        <v>861</v>
      </c>
      <c r="B158" t="s">
        <v>629</v>
      </c>
      <c r="C158" t="s">
        <v>635</v>
      </c>
      <c r="D158">
        <v>2</v>
      </c>
      <c r="E158" t="s">
        <v>631</v>
      </c>
      <c r="F158" t="s">
        <v>630</v>
      </c>
      <c r="G158">
        <v>4009</v>
      </c>
      <c r="H158">
        <v>1717</v>
      </c>
      <c r="I158">
        <v>116</v>
      </c>
      <c r="J158">
        <v>360</v>
      </c>
      <c r="K158">
        <v>1</v>
      </c>
      <c r="L158" t="s">
        <v>646</v>
      </c>
      <c r="M158" t="s">
        <v>633</v>
      </c>
    </row>
    <row r="159" spans="1:13" x14ac:dyDescent="0.3">
      <c r="A159" t="s">
        <v>862</v>
      </c>
      <c r="B159" t="s">
        <v>629</v>
      </c>
      <c r="C159" t="s">
        <v>630</v>
      </c>
      <c r="D159">
        <v>0</v>
      </c>
      <c r="E159" t="s">
        <v>631</v>
      </c>
      <c r="F159" t="s">
        <v>630</v>
      </c>
      <c r="G159">
        <v>2971</v>
      </c>
      <c r="H159">
        <v>2791</v>
      </c>
      <c r="I159">
        <v>144</v>
      </c>
      <c r="J159">
        <v>360</v>
      </c>
      <c r="K159">
        <v>1</v>
      </c>
      <c r="L159" t="s">
        <v>646</v>
      </c>
      <c r="M159" t="s">
        <v>633</v>
      </c>
    </row>
    <row r="160" spans="1:13" x14ac:dyDescent="0.3">
      <c r="A160" t="s">
        <v>864</v>
      </c>
      <c r="B160" t="s">
        <v>629</v>
      </c>
      <c r="C160" t="s">
        <v>635</v>
      </c>
      <c r="D160">
        <v>0</v>
      </c>
      <c r="E160" t="s">
        <v>631</v>
      </c>
      <c r="F160" t="s">
        <v>630</v>
      </c>
      <c r="G160">
        <v>6250</v>
      </c>
      <c r="H160">
        <v>0</v>
      </c>
      <c r="I160">
        <v>128</v>
      </c>
      <c r="J160">
        <v>360</v>
      </c>
      <c r="K160">
        <v>1</v>
      </c>
      <c r="L160" t="s">
        <v>646</v>
      </c>
      <c r="M160" t="s">
        <v>633</v>
      </c>
    </row>
    <row r="161" spans="1:13" x14ac:dyDescent="0.3">
      <c r="A161" t="s">
        <v>865</v>
      </c>
      <c r="B161" t="s">
        <v>629</v>
      </c>
      <c r="C161" t="s">
        <v>635</v>
      </c>
      <c r="D161">
        <v>0</v>
      </c>
      <c r="E161" t="s">
        <v>631</v>
      </c>
      <c r="F161" t="s">
        <v>630</v>
      </c>
      <c r="G161">
        <v>3250</v>
      </c>
      <c r="H161">
        <v>0</v>
      </c>
      <c r="I161">
        <v>170</v>
      </c>
      <c r="J161">
        <v>360</v>
      </c>
      <c r="K161">
        <v>1</v>
      </c>
      <c r="L161" t="s">
        <v>636</v>
      </c>
      <c r="M161" t="s">
        <v>637</v>
      </c>
    </row>
    <row r="162" spans="1:13" x14ac:dyDescent="0.3">
      <c r="A162" t="s">
        <v>867</v>
      </c>
      <c r="B162" t="s">
        <v>629</v>
      </c>
      <c r="C162" t="s">
        <v>635</v>
      </c>
      <c r="D162">
        <v>2</v>
      </c>
      <c r="E162" t="s">
        <v>631</v>
      </c>
      <c r="F162" t="s">
        <v>630</v>
      </c>
      <c r="G162">
        <v>6250</v>
      </c>
      <c r="H162">
        <v>1695</v>
      </c>
      <c r="I162">
        <v>210</v>
      </c>
      <c r="J162">
        <v>360</v>
      </c>
      <c r="K162">
        <v>1</v>
      </c>
      <c r="L162" t="s">
        <v>646</v>
      </c>
      <c r="M162" t="s">
        <v>633</v>
      </c>
    </row>
    <row r="163" spans="1:13" x14ac:dyDescent="0.3">
      <c r="A163" t="s">
        <v>869</v>
      </c>
      <c r="B163" t="s">
        <v>629</v>
      </c>
      <c r="C163" t="s">
        <v>630</v>
      </c>
      <c r="D163">
        <v>0</v>
      </c>
      <c r="E163" t="s">
        <v>631</v>
      </c>
      <c r="F163" t="s">
        <v>635</v>
      </c>
      <c r="G163">
        <v>6400</v>
      </c>
      <c r="H163">
        <v>0</v>
      </c>
      <c r="I163">
        <v>200</v>
      </c>
      <c r="J163">
        <v>360</v>
      </c>
      <c r="K163">
        <v>1</v>
      </c>
      <c r="L163" t="s">
        <v>636</v>
      </c>
      <c r="M163" t="s">
        <v>633</v>
      </c>
    </row>
    <row r="164" spans="1:13" x14ac:dyDescent="0.3">
      <c r="A164" t="s">
        <v>870</v>
      </c>
      <c r="B164" t="s">
        <v>629</v>
      </c>
      <c r="C164" t="s">
        <v>635</v>
      </c>
      <c r="D164">
        <v>1</v>
      </c>
      <c r="E164" t="s">
        <v>631</v>
      </c>
      <c r="F164" t="s">
        <v>630</v>
      </c>
      <c r="G164">
        <v>2491</v>
      </c>
      <c r="H164">
        <v>2054</v>
      </c>
      <c r="I164">
        <v>104</v>
      </c>
      <c r="J164">
        <v>360</v>
      </c>
      <c r="K164">
        <v>1</v>
      </c>
      <c r="L164" t="s">
        <v>646</v>
      </c>
      <c r="M164" t="s">
        <v>633</v>
      </c>
    </row>
    <row r="165" spans="1:13" x14ac:dyDescent="0.3">
      <c r="A165" t="s">
        <v>874</v>
      </c>
      <c r="B165" t="s">
        <v>629</v>
      </c>
      <c r="C165" t="s">
        <v>635</v>
      </c>
      <c r="D165">
        <v>1</v>
      </c>
      <c r="E165" t="s">
        <v>631</v>
      </c>
      <c r="F165" t="s">
        <v>630</v>
      </c>
      <c r="G165">
        <v>3155</v>
      </c>
      <c r="H165">
        <v>1779</v>
      </c>
      <c r="I165">
        <v>140</v>
      </c>
      <c r="J165">
        <v>360</v>
      </c>
      <c r="K165">
        <v>1</v>
      </c>
      <c r="L165" t="s">
        <v>646</v>
      </c>
      <c r="M165" t="s">
        <v>633</v>
      </c>
    </row>
    <row r="166" spans="1:13" x14ac:dyDescent="0.3">
      <c r="A166" t="s">
        <v>875</v>
      </c>
      <c r="B166" t="s">
        <v>629</v>
      </c>
      <c r="C166" t="s">
        <v>635</v>
      </c>
      <c r="D166">
        <v>1</v>
      </c>
      <c r="E166" t="s">
        <v>631</v>
      </c>
      <c r="F166" t="s">
        <v>630</v>
      </c>
      <c r="G166">
        <v>5500</v>
      </c>
      <c r="H166">
        <v>1260</v>
      </c>
      <c r="I166">
        <v>170</v>
      </c>
      <c r="J166">
        <v>360</v>
      </c>
      <c r="K166">
        <v>1</v>
      </c>
      <c r="L166" t="s">
        <v>636</v>
      </c>
      <c r="M166" t="s">
        <v>633</v>
      </c>
    </row>
    <row r="167" spans="1:13" x14ac:dyDescent="0.3">
      <c r="A167" t="s">
        <v>878</v>
      </c>
      <c r="B167" t="s">
        <v>657</v>
      </c>
      <c r="C167" t="s">
        <v>630</v>
      </c>
      <c r="D167">
        <v>1</v>
      </c>
      <c r="E167" t="s">
        <v>631</v>
      </c>
      <c r="F167" t="s">
        <v>630</v>
      </c>
      <c r="G167">
        <v>3812</v>
      </c>
      <c r="H167">
        <v>0</v>
      </c>
      <c r="I167">
        <v>112</v>
      </c>
      <c r="J167">
        <v>360</v>
      </c>
      <c r="K167">
        <v>1</v>
      </c>
      <c r="L167" t="s">
        <v>636</v>
      </c>
      <c r="M167" t="s">
        <v>633</v>
      </c>
    </row>
    <row r="168" spans="1:13" x14ac:dyDescent="0.3">
      <c r="A168" t="s">
        <v>879</v>
      </c>
      <c r="B168" t="s">
        <v>629</v>
      </c>
      <c r="C168" t="s">
        <v>635</v>
      </c>
      <c r="D168">
        <v>1</v>
      </c>
      <c r="E168" t="s">
        <v>631</v>
      </c>
      <c r="F168" t="s">
        <v>630</v>
      </c>
      <c r="G168">
        <v>3315</v>
      </c>
      <c r="H168">
        <v>0</v>
      </c>
      <c r="I168">
        <v>96</v>
      </c>
      <c r="J168">
        <v>360</v>
      </c>
      <c r="K168">
        <v>1</v>
      </c>
      <c r="L168" t="s">
        <v>646</v>
      </c>
      <c r="M168" t="s">
        <v>633</v>
      </c>
    </row>
    <row r="169" spans="1:13" x14ac:dyDescent="0.3">
      <c r="A169" t="s">
        <v>880</v>
      </c>
      <c r="B169" t="s">
        <v>629</v>
      </c>
      <c r="C169" t="s">
        <v>635</v>
      </c>
      <c r="D169">
        <v>2</v>
      </c>
      <c r="E169" t="s">
        <v>631</v>
      </c>
      <c r="F169" t="s">
        <v>630</v>
      </c>
      <c r="G169">
        <v>5819</v>
      </c>
      <c r="H169">
        <v>5000</v>
      </c>
      <c r="I169">
        <v>120</v>
      </c>
      <c r="J169">
        <v>360</v>
      </c>
      <c r="K169">
        <v>1</v>
      </c>
      <c r="L169" t="s">
        <v>636</v>
      </c>
      <c r="M169" t="s">
        <v>633</v>
      </c>
    </row>
    <row r="170" spans="1:13" x14ac:dyDescent="0.3">
      <c r="A170" t="s">
        <v>881</v>
      </c>
      <c r="B170" t="s">
        <v>629</v>
      </c>
      <c r="C170" t="s">
        <v>635</v>
      </c>
      <c r="D170">
        <v>1</v>
      </c>
      <c r="E170" t="s">
        <v>640</v>
      </c>
      <c r="F170" t="s">
        <v>630</v>
      </c>
      <c r="G170">
        <v>2510</v>
      </c>
      <c r="H170">
        <v>1983</v>
      </c>
      <c r="I170">
        <v>140</v>
      </c>
      <c r="J170">
        <v>180</v>
      </c>
      <c r="K170">
        <v>1</v>
      </c>
      <c r="L170" t="s">
        <v>632</v>
      </c>
      <c r="M170" t="s">
        <v>637</v>
      </c>
    </row>
    <row r="171" spans="1:13" x14ac:dyDescent="0.3">
      <c r="A171" t="s">
        <v>882</v>
      </c>
      <c r="B171" t="s">
        <v>629</v>
      </c>
      <c r="C171" t="s">
        <v>630</v>
      </c>
      <c r="D171">
        <v>0</v>
      </c>
      <c r="E171" t="s">
        <v>631</v>
      </c>
      <c r="F171" t="s">
        <v>630</v>
      </c>
      <c r="G171">
        <v>2965</v>
      </c>
      <c r="H171">
        <v>5701</v>
      </c>
      <c r="I171">
        <v>155</v>
      </c>
      <c r="J171">
        <v>60</v>
      </c>
      <c r="K171">
        <v>1</v>
      </c>
      <c r="L171" t="s">
        <v>632</v>
      </c>
      <c r="M171" t="s">
        <v>633</v>
      </c>
    </row>
    <row r="172" spans="1:13" x14ac:dyDescent="0.3">
      <c r="A172" t="s">
        <v>883</v>
      </c>
      <c r="B172" t="s">
        <v>629</v>
      </c>
      <c r="C172" t="s">
        <v>635</v>
      </c>
      <c r="D172">
        <v>2</v>
      </c>
      <c r="E172" t="s">
        <v>631</v>
      </c>
      <c r="F172" t="s">
        <v>635</v>
      </c>
      <c r="G172">
        <v>6250</v>
      </c>
      <c r="H172">
        <v>1300</v>
      </c>
      <c r="I172">
        <v>108</v>
      </c>
      <c r="J172">
        <v>360</v>
      </c>
      <c r="K172">
        <v>1</v>
      </c>
      <c r="L172" t="s">
        <v>636</v>
      </c>
      <c r="M172" t="s">
        <v>633</v>
      </c>
    </row>
    <row r="173" spans="1:13" x14ac:dyDescent="0.3">
      <c r="A173" t="s">
        <v>884</v>
      </c>
      <c r="B173" t="s">
        <v>629</v>
      </c>
      <c r="C173" t="s">
        <v>635</v>
      </c>
      <c r="D173">
        <v>0</v>
      </c>
      <c r="E173" t="s">
        <v>640</v>
      </c>
      <c r="F173" t="s">
        <v>630</v>
      </c>
      <c r="G173">
        <v>3406</v>
      </c>
      <c r="H173">
        <v>4417</v>
      </c>
      <c r="I173">
        <v>123</v>
      </c>
      <c r="J173">
        <v>360</v>
      </c>
      <c r="K173">
        <v>1</v>
      </c>
      <c r="L173" t="s">
        <v>646</v>
      </c>
      <c r="M173" t="s">
        <v>633</v>
      </c>
    </row>
    <row r="174" spans="1:13" x14ac:dyDescent="0.3">
      <c r="A174" t="s">
        <v>885</v>
      </c>
      <c r="B174" t="s">
        <v>629</v>
      </c>
      <c r="C174" t="s">
        <v>630</v>
      </c>
      <c r="D174">
        <v>0</v>
      </c>
      <c r="E174" t="s">
        <v>631</v>
      </c>
      <c r="F174" t="s">
        <v>635</v>
      </c>
      <c r="G174">
        <v>6050</v>
      </c>
      <c r="H174">
        <v>4333</v>
      </c>
      <c r="I174">
        <v>120</v>
      </c>
      <c r="J174">
        <v>180</v>
      </c>
      <c r="K174">
        <v>1</v>
      </c>
      <c r="L174" t="s">
        <v>632</v>
      </c>
      <c r="M174" t="s">
        <v>637</v>
      </c>
    </row>
    <row r="175" spans="1:13" x14ac:dyDescent="0.3">
      <c r="A175" t="s">
        <v>886</v>
      </c>
      <c r="B175" t="s">
        <v>629</v>
      </c>
      <c r="C175" t="s">
        <v>635</v>
      </c>
      <c r="D175">
        <v>2</v>
      </c>
      <c r="E175" t="s">
        <v>631</v>
      </c>
      <c r="F175" t="s">
        <v>630</v>
      </c>
      <c r="G175">
        <v>9703</v>
      </c>
      <c r="H175">
        <v>0</v>
      </c>
      <c r="I175">
        <v>112</v>
      </c>
      <c r="J175">
        <v>360</v>
      </c>
      <c r="K175">
        <v>1</v>
      </c>
      <c r="L175" t="s">
        <v>632</v>
      </c>
      <c r="M175" t="s">
        <v>633</v>
      </c>
    </row>
    <row r="176" spans="1:13" x14ac:dyDescent="0.3">
      <c r="A176" t="s">
        <v>887</v>
      </c>
      <c r="B176" t="s">
        <v>629</v>
      </c>
      <c r="C176" t="s">
        <v>635</v>
      </c>
      <c r="D176">
        <v>1</v>
      </c>
      <c r="E176" t="s">
        <v>640</v>
      </c>
      <c r="F176" t="s">
        <v>630</v>
      </c>
      <c r="G176">
        <v>6608</v>
      </c>
      <c r="H176">
        <v>0</v>
      </c>
      <c r="I176">
        <v>137</v>
      </c>
      <c r="J176">
        <v>180</v>
      </c>
      <c r="K176">
        <v>1</v>
      </c>
      <c r="L176" t="s">
        <v>632</v>
      </c>
      <c r="M176" t="s">
        <v>633</v>
      </c>
    </row>
    <row r="177" spans="1:13" x14ac:dyDescent="0.3">
      <c r="A177" t="s">
        <v>888</v>
      </c>
      <c r="B177" t="s">
        <v>629</v>
      </c>
      <c r="C177" t="s">
        <v>635</v>
      </c>
      <c r="D177">
        <v>1</v>
      </c>
      <c r="E177" t="s">
        <v>631</v>
      </c>
      <c r="F177" t="s">
        <v>630</v>
      </c>
      <c r="G177">
        <v>2882</v>
      </c>
      <c r="H177">
        <v>1843</v>
      </c>
      <c r="I177">
        <v>123</v>
      </c>
      <c r="J177">
        <v>480</v>
      </c>
      <c r="K177">
        <v>1</v>
      </c>
      <c r="L177" t="s">
        <v>646</v>
      </c>
      <c r="M177" t="s">
        <v>633</v>
      </c>
    </row>
    <row r="178" spans="1:13" x14ac:dyDescent="0.3">
      <c r="A178" t="s">
        <v>889</v>
      </c>
      <c r="B178" t="s">
        <v>629</v>
      </c>
      <c r="C178" t="s">
        <v>635</v>
      </c>
      <c r="D178">
        <v>0</v>
      </c>
      <c r="E178" t="s">
        <v>631</v>
      </c>
      <c r="F178" t="s">
        <v>630</v>
      </c>
      <c r="G178">
        <v>1809</v>
      </c>
      <c r="H178">
        <v>1868</v>
      </c>
      <c r="I178">
        <v>90</v>
      </c>
      <c r="J178">
        <v>360</v>
      </c>
      <c r="K178">
        <v>1</v>
      </c>
      <c r="L178" t="s">
        <v>632</v>
      </c>
      <c r="M178" t="s">
        <v>633</v>
      </c>
    </row>
    <row r="179" spans="1:13" x14ac:dyDescent="0.3">
      <c r="A179" t="s">
        <v>890</v>
      </c>
      <c r="B179" t="s">
        <v>629</v>
      </c>
      <c r="C179" t="s">
        <v>635</v>
      </c>
      <c r="D179">
        <v>0</v>
      </c>
      <c r="E179" t="s">
        <v>640</v>
      </c>
      <c r="F179" t="s">
        <v>630</v>
      </c>
      <c r="G179">
        <v>1668</v>
      </c>
      <c r="H179">
        <v>3890</v>
      </c>
      <c r="I179">
        <v>201</v>
      </c>
      <c r="J179">
        <v>360</v>
      </c>
      <c r="K179">
        <v>0</v>
      </c>
      <c r="L179" t="s">
        <v>646</v>
      </c>
      <c r="M179" t="s">
        <v>637</v>
      </c>
    </row>
    <row r="180" spans="1:13" x14ac:dyDescent="0.3">
      <c r="A180" t="s">
        <v>891</v>
      </c>
      <c r="B180" t="s">
        <v>657</v>
      </c>
      <c r="C180" t="s">
        <v>630</v>
      </c>
      <c r="D180">
        <v>2</v>
      </c>
      <c r="E180" t="s">
        <v>631</v>
      </c>
      <c r="F180" t="s">
        <v>630</v>
      </c>
      <c r="G180">
        <v>3427</v>
      </c>
      <c r="H180">
        <v>0</v>
      </c>
      <c r="I180">
        <v>138</v>
      </c>
      <c r="J180">
        <v>360</v>
      </c>
      <c r="K180">
        <v>1</v>
      </c>
      <c r="L180" t="s">
        <v>632</v>
      </c>
      <c r="M180" t="s">
        <v>637</v>
      </c>
    </row>
    <row r="181" spans="1:13" x14ac:dyDescent="0.3">
      <c r="A181" t="s">
        <v>892</v>
      </c>
      <c r="B181" t="s">
        <v>629</v>
      </c>
      <c r="C181" t="s">
        <v>630</v>
      </c>
      <c r="D181">
        <v>0</v>
      </c>
      <c r="E181" t="s">
        <v>640</v>
      </c>
      <c r="F181" t="s">
        <v>635</v>
      </c>
      <c r="G181">
        <v>2583</v>
      </c>
      <c r="H181">
        <v>2167</v>
      </c>
      <c r="I181">
        <v>104</v>
      </c>
      <c r="J181">
        <v>360</v>
      </c>
      <c r="K181">
        <v>1</v>
      </c>
      <c r="L181" t="s">
        <v>636</v>
      </c>
      <c r="M181" t="s">
        <v>633</v>
      </c>
    </row>
    <row r="182" spans="1:13" x14ac:dyDescent="0.3">
      <c r="A182" t="s">
        <v>894</v>
      </c>
      <c r="B182" t="s">
        <v>629</v>
      </c>
      <c r="C182" t="s">
        <v>630</v>
      </c>
      <c r="D182">
        <v>0</v>
      </c>
      <c r="E182" t="s">
        <v>631</v>
      </c>
      <c r="F182" t="s">
        <v>635</v>
      </c>
      <c r="G182">
        <v>16250</v>
      </c>
      <c r="H182">
        <v>0</v>
      </c>
      <c r="I182">
        <v>192</v>
      </c>
      <c r="J182">
        <v>360</v>
      </c>
      <c r="K182">
        <v>0</v>
      </c>
      <c r="L182" t="s">
        <v>632</v>
      </c>
      <c r="M182" t="s">
        <v>637</v>
      </c>
    </row>
    <row r="183" spans="1:13" x14ac:dyDescent="0.3">
      <c r="A183" t="s">
        <v>895</v>
      </c>
      <c r="B183" t="s">
        <v>657</v>
      </c>
      <c r="C183" t="s">
        <v>630</v>
      </c>
      <c r="D183" t="s">
        <v>645</v>
      </c>
      <c r="E183" t="s">
        <v>631</v>
      </c>
      <c r="F183" t="s">
        <v>630</v>
      </c>
      <c r="G183">
        <v>3083</v>
      </c>
      <c r="H183">
        <v>0</v>
      </c>
      <c r="I183">
        <v>255</v>
      </c>
      <c r="J183">
        <v>360</v>
      </c>
      <c r="K183">
        <v>1</v>
      </c>
      <c r="L183" t="s">
        <v>636</v>
      </c>
      <c r="M183" t="s">
        <v>633</v>
      </c>
    </row>
    <row r="184" spans="1:13" x14ac:dyDescent="0.3">
      <c r="A184" t="s">
        <v>896</v>
      </c>
      <c r="B184" t="s">
        <v>629</v>
      </c>
      <c r="C184" t="s">
        <v>630</v>
      </c>
      <c r="D184">
        <v>0</v>
      </c>
      <c r="E184" t="s">
        <v>640</v>
      </c>
      <c r="F184" t="s">
        <v>630</v>
      </c>
      <c r="G184">
        <v>6045</v>
      </c>
      <c r="H184">
        <v>0</v>
      </c>
      <c r="I184">
        <v>115</v>
      </c>
      <c r="J184">
        <v>360</v>
      </c>
      <c r="K184">
        <v>0</v>
      </c>
      <c r="L184" t="s">
        <v>636</v>
      </c>
      <c r="M184" t="s">
        <v>637</v>
      </c>
    </row>
    <row r="185" spans="1:13" x14ac:dyDescent="0.3">
      <c r="A185" t="s">
        <v>897</v>
      </c>
      <c r="B185" t="s">
        <v>629</v>
      </c>
      <c r="C185" t="s">
        <v>635</v>
      </c>
      <c r="D185" t="s">
        <v>645</v>
      </c>
      <c r="E185" t="s">
        <v>631</v>
      </c>
      <c r="F185" t="s">
        <v>630</v>
      </c>
      <c r="G185">
        <v>5250</v>
      </c>
      <c r="H185">
        <v>0</v>
      </c>
      <c r="I185">
        <v>94</v>
      </c>
      <c r="J185">
        <v>360</v>
      </c>
      <c r="K185">
        <v>1</v>
      </c>
      <c r="L185" t="s">
        <v>632</v>
      </c>
      <c r="M185" t="s">
        <v>637</v>
      </c>
    </row>
    <row r="186" spans="1:13" x14ac:dyDescent="0.3">
      <c r="A186" t="s">
        <v>901</v>
      </c>
      <c r="B186" t="s">
        <v>629</v>
      </c>
      <c r="C186" t="s">
        <v>630</v>
      </c>
      <c r="D186">
        <v>0</v>
      </c>
      <c r="E186" t="s">
        <v>631</v>
      </c>
      <c r="F186" t="s">
        <v>630</v>
      </c>
      <c r="G186">
        <v>2060</v>
      </c>
      <c r="H186">
        <v>2209</v>
      </c>
      <c r="I186">
        <v>134</v>
      </c>
      <c r="J186">
        <v>360</v>
      </c>
      <c r="K186">
        <v>1</v>
      </c>
      <c r="L186" t="s">
        <v>646</v>
      </c>
      <c r="M186" t="s">
        <v>633</v>
      </c>
    </row>
    <row r="187" spans="1:13" x14ac:dyDescent="0.3">
      <c r="A187" t="s">
        <v>902</v>
      </c>
      <c r="B187" t="s">
        <v>657</v>
      </c>
      <c r="C187" t="s">
        <v>630</v>
      </c>
      <c r="D187">
        <v>1</v>
      </c>
      <c r="E187" t="s">
        <v>631</v>
      </c>
      <c r="F187" t="s">
        <v>630</v>
      </c>
      <c r="G187">
        <v>3481</v>
      </c>
      <c r="H187">
        <v>0</v>
      </c>
      <c r="I187">
        <v>155</v>
      </c>
      <c r="J187">
        <v>36</v>
      </c>
      <c r="K187">
        <v>1</v>
      </c>
      <c r="L187" t="s">
        <v>646</v>
      </c>
      <c r="M187" t="s">
        <v>637</v>
      </c>
    </row>
    <row r="188" spans="1:13" x14ac:dyDescent="0.3">
      <c r="A188" t="s">
        <v>903</v>
      </c>
      <c r="B188" t="s">
        <v>657</v>
      </c>
      <c r="C188" t="s">
        <v>630</v>
      </c>
      <c r="D188">
        <v>0</v>
      </c>
      <c r="E188" t="s">
        <v>631</v>
      </c>
      <c r="F188" t="s">
        <v>630</v>
      </c>
      <c r="G188">
        <v>7200</v>
      </c>
      <c r="H188">
        <v>0</v>
      </c>
      <c r="I188">
        <v>120</v>
      </c>
      <c r="J188">
        <v>360</v>
      </c>
      <c r="K188">
        <v>1</v>
      </c>
      <c r="L188" t="s">
        <v>636</v>
      </c>
      <c r="M188" t="s">
        <v>633</v>
      </c>
    </row>
    <row r="189" spans="1:13" x14ac:dyDescent="0.3">
      <c r="A189" t="s">
        <v>904</v>
      </c>
      <c r="B189" t="s">
        <v>629</v>
      </c>
      <c r="C189" t="s">
        <v>630</v>
      </c>
      <c r="D189">
        <v>0</v>
      </c>
      <c r="E189" t="s">
        <v>631</v>
      </c>
      <c r="F189" t="s">
        <v>635</v>
      </c>
      <c r="G189">
        <v>5166</v>
      </c>
      <c r="H189">
        <v>0</v>
      </c>
      <c r="I189">
        <v>128</v>
      </c>
      <c r="J189">
        <v>360</v>
      </c>
      <c r="K189">
        <v>1</v>
      </c>
      <c r="L189" t="s">
        <v>646</v>
      </c>
      <c r="M189" t="s">
        <v>633</v>
      </c>
    </row>
    <row r="190" spans="1:13" x14ac:dyDescent="0.3">
      <c r="A190" t="s">
        <v>905</v>
      </c>
      <c r="B190" t="s">
        <v>629</v>
      </c>
      <c r="C190" t="s">
        <v>630</v>
      </c>
      <c r="D190">
        <v>0</v>
      </c>
      <c r="E190" t="s">
        <v>631</v>
      </c>
      <c r="F190" t="s">
        <v>630</v>
      </c>
      <c r="G190">
        <v>4095</v>
      </c>
      <c r="H190">
        <v>3447</v>
      </c>
      <c r="I190">
        <v>151</v>
      </c>
      <c r="J190">
        <v>360</v>
      </c>
      <c r="K190">
        <v>1</v>
      </c>
      <c r="L190" t="s">
        <v>636</v>
      </c>
      <c r="M190" t="s">
        <v>633</v>
      </c>
    </row>
    <row r="191" spans="1:13" x14ac:dyDescent="0.3">
      <c r="A191" t="s">
        <v>906</v>
      </c>
      <c r="B191" t="s">
        <v>629</v>
      </c>
      <c r="C191" t="s">
        <v>635</v>
      </c>
      <c r="D191">
        <v>2</v>
      </c>
      <c r="E191" t="s">
        <v>631</v>
      </c>
      <c r="F191" t="s">
        <v>630</v>
      </c>
      <c r="G191">
        <v>4708</v>
      </c>
      <c r="H191">
        <v>1387</v>
      </c>
      <c r="I191">
        <v>150</v>
      </c>
      <c r="J191">
        <v>360</v>
      </c>
      <c r="K191">
        <v>1</v>
      </c>
      <c r="L191" t="s">
        <v>646</v>
      </c>
      <c r="M191" t="s">
        <v>633</v>
      </c>
    </row>
    <row r="192" spans="1:13" x14ac:dyDescent="0.3">
      <c r="A192" t="s">
        <v>907</v>
      </c>
      <c r="B192" t="s">
        <v>629</v>
      </c>
      <c r="C192" t="s">
        <v>635</v>
      </c>
      <c r="D192" t="s">
        <v>645</v>
      </c>
      <c r="E192" t="s">
        <v>631</v>
      </c>
      <c r="F192" t="s">
        <v>630</v>
      </c>
      <c r="G192">
        <v>4333</v>
      </c>
      <c r="H192">
        <v>1811</v>
      </c>
      <c r="I192">
        <v>160</v>
      </c>
      <c r="J192">
        <v>360</v>
      </c>
      <c r="K192">
        <v>0</v>
      </c>
      <c r="L192" t="s">
        <v>632</v>
      </c>
      <c r="M192" t="s">
        <v>633</v>
      </c>
    </row>
    <row r="193" spans="1:13" x14ac:dyDescent="0.3">
      <c r="A193" t="s">
        <v>909</v>
      </c>
      <c r="B193" t="s">
        <v>657</v>
      </c>
      <c r="C193" t="s">
        <v>630</v>
      </c>
      <c r="D193">
        <v>1</v>
      </c>
      <c r="E193" t="s">
        <v>631</v>
      </c>
      <c r="F193" t="s">
        <v>630</v>
      </c>
      <c r="G193">
        <v>2876</v>
      </c>
      <c r="H193">
        <v>1560</v>
      </c>
      <c r="I193">
        <v>90</v>
      </c>
      <c r="J193">
        <v>360</v>
      </c>
      <c r="K193">
        <v>1</v>
      </c>
      <c r="L193" t="s">
        <v>632</v>
      </c>
      <c r="M193" t="s">
        <v>633</v>
      </c>
    </row>
    <row r="194" spans="1:13" x14ac:dyDescent="0.3">
      <c r="A194" t="s">
        <v>910</v>
      </c>
      <c r="B194" t="s">
        <v>657</v>
      </c>
      <c r="C194" t="s">
        <v>630</v>
      </c>
      <c r="D194">
        <v>0</v>
      </c>
      <c r="E194" t="s">
        <v>631</v>
      </c>
      <c r="F194" t="s">
        <v>630</v>
      </c>
      <c r="G194">
        <v>3237</v>
      </c>
      <c r="H194">
        <v>0</v>
      </c>
      <c r="I194">
        <v>30</v>
      </c>
      <c r="J194">
        <v>360</v>
      </c>
      <c r="K194">
        <v>1</v>
      </c>
      <c r="L194" t="s">
        <v>632</v>
      </c>
      <c r="M194" t="s">
        <v>633</v>
      </c>
    </row>
    <row r="195" spans="1:13" x14ac:dyDescent="0.3">
      <c r="A195" t="s">
        <v>911</v>
      </c>
      <c r="B195" t="s">
        <v>629</v>
      </c>
      <c r="C195" t="s">
        <v>635</v>
      </c>
      <c r="D195">
        <v>0</v>
      </c>
      <c r="E195" t="s">
        <v>631</v>
      </c>
      <c r="F195" t="s">
        <v>630</v>
      </c>
      <c r="G195">
        <v>11146</v>
      </c>
      <c r="H195">
        <v>0</v>
      </c>
      <c r="I195">
        <v>136</v>
      </c>
      <c r="J195">
        <v>360</v>
      </c>
      <c r="K195">
        <v>1</v>
      </c>
      <c r="L195" t="s">
        <v>632</v>
      </c>
      <c r="M195" t="s">
        <v>633</v>
      </c>
    </row>
    <row r="196" spans="1:13" x14ac:dyDescent="0.3">
      <c r="A196" t="s">
        <v>912</v>
      </c>
      <c r="B196" t="s">
        <v>629</v>
      </c>
      <c r="C196" t="s">
        <v>630</v>
      </c>
      <c r="D196">
        <v>0</v>
      </c>
      <c r="E196" t="s">
        <v>631</v>
      </c>
      <c r="F196" t="s">
        <v>630</v>
      </c>
      <c r="G196">
        <v>2833</v>
      </c>
      <c r="H196">
        <v>1857</v>
      </c>
      <c r="I196">
        <v>126</v>
      </c>
      <c r="J196">
        <v>360</v>
      </c>
      <c r="K196">
        <v>1</v>
      </c>
      <c r="L196" t="s">
        <v>636</v>
      </c>
      <c r="M196" t="s">
        <v>633</v>
      </c>
    </row>
    <row r="197" spans="1:13" x14ac:dyDescent="0.3">
      <c r="A197" t="s">
        <v>913</v>
      </c>
      <c r="B197" t="s">
        <v>629</v>
      </c>
      <c r="C197" t="s">
        <v>635</v>
      </c>
      <c r="D197">
        <v>0</v>
      </c>
      <c r="E197" t="s">
        <v>631</v>
      </c>
      <c r="F197" t="s">
        <v>630</v>
      </c>
      <c r="G197">
        <v>2620</v>
      </c>
      <c r="H197">
        <v>2223</v>
      </c>
      <c r="I197">
        <v>150</v>
      </c>
      <c r="J197">
        <v>360</v>
      </c>
      <c r="K197">
        <v>1</v>
      </c>
      <c r="L197" t="s">
        <v>646</v>
      </c>
      <c r="M197" t="s">
        <v>633</v>
      </c>
    </row>
    <row r="198" spans="1:13" x14ac:dyDescent="0.3">
      <c r="A198" t="s">
        <v>914</v>
      </c>
      <c r="B198" t="s">
        <v>629</v>
      </c>
      <c r="C198" t="s">
        <v>635</v>
      </c>
      <c r="D198">
        <v>2</v>
      </c>
      <c r="E198" t="s">
        <v>631</v>
      </c>
      <c r="F198" t="s">
        <v>630</v>
      </c>
      <c r="G198">
        <v>3900</v>
      </c>
      <c r="H198">
        <v>0</v>
      </c>
      <c r="I198">
        <v>90</v>
      </c>
      <c r="J198">
        <v>360</v>
      </c>
      <c r="K198">
        <v>1</v>
      </c>
      <c r="L198" t="s">
        <v>646</v>
      </c>
      <c r="M198" t="s">
        <v>633</v>
      </c>
    </row>
    <row r="199" spans="1:13" x14ac:dyDescent="0.3">
      <c r="A199" t="s">
        <v>915</v>
      </c>
      <c r="B199" t="s">
        <v>629</v>
      </c>
      <c r="C199" t="s">
        <v>635</v>
      </c>
      <c r="D199">
        <v>1</v>
      </c>
      <c r="E199" t="s">
        <v>631</v>
      </c>
      <c r="F199" t="s">
        <v>630</v>
      </c>
      <c r="G199">
        <v>2750</v>
      </c>
      <c r="H199">
        <v>1842</v>
      </c>
      <c r="I199">
        <v>115</v>
      </c>
      <c r="J199">
        <v>360</v>
      </c>
      <c r="K199">
        <v>1</v>
      </c>
      <c r="L199" t="s">
        <v>646</v>
      </c>
      <c r="M199" t="s">
        <v>633</v>
      </c>
    </row>
    <row r="200" spans="1:13" x14ac:dyDescent="0.3">
      <c r="A200" t="s">
        <v>916</v>
      </c>
      <c r="B200" t="s">
        <v>629</v>
      </c>
      <c r="C200" t="s">
        <v>635</v>
      </c>
      <c r="D200">
        <v>0</v>
      </c>
      <c r="E200" t="s">
        <v>631</v>
      </c>
      <c r="F200" t="s">
        <v>630</v>
      </c>
      <c r="G200">
        <v>3993</v>
      </c>
      <c r="H200">
        <v>3274</v>
      </c>
      <c r="I200">
        <v>207</v>
      </c>
      <c r="J200">
        <v>360</v>
      </c>
      <c r="K200">
        <v>1</v>
      </c>
      <c r="L200" t="s">
        <v>646</v>
      </c>
      <c r="M200" t="s">
        <v>633</v>
      </c>
    </row>
    <row r="201" spans="1:13" x14ac:dyDescent="0.3">
      <c r="A201" t="s">
        <v>917</v>
      </c>
      <c r="B201" t="s">
        <v>629</v>
      </c>
      <c r="C201" t="s">
        <v>635</v>
      </c>
      <c r="D201">
        <v>0</v>
      </c>
      <c r="E201" t="s">
        <v>631</v>
      </c>
      <c r="F201" t="s">
        <v>630</v>
      </c>
      <c r="G201">
        <v>3103</v>
      </c>
      <c r="H201">
        <v>1300</v>
      </c>
      <c r="I201">
        <v>80</v>
      </c>
      <c r="J201">
        <v>360</v>
      </c>
      <c r="K201">
        <v>1</v>
      </c>
      <c r="L201" t="s">
        <v>632</v>
      </c>
      <c r="M201" t="s">
        <v>633</v>
      </c>
    </row>
    <row r="202" spans="1:13" x14ac:dyDescent="0.3">
      <c r="A202" t="s">
        <v>920</v>
      </c>
      <c r="B202" t="s">
        <v>629</v>
      </c>
      <c r="C202" t="s">
        <v>630</v>
      </c>
      <c r="D202">
        <v>1</v>
      </c>
      <c r="E202" t="s">
        <v>640</v>
      </c>
      <c r="F202" t="s">
        <v>635</v>
      </c>
      <c r="G202">
        <v>4053</v>
      </c>
      <c r="H202">
        <v>2426</v>
      </c>
      <c r="I202">
        <v>158</v>
      </c>
      <c r="J202">
        <v>360</v>
      </c>
      <c r="K202">
        <v>0</v>
      </c>
      <c r="L202" t="s">
        <v>632</v>
      </c>
      <c r="M202" t="s">
        <v>637</v>
      </c>
    </row>
    <row r="203" spans="1:13" x14ac:dyDescent="0.3">
      <c r="A203" t="s">
        <v>921</v>
      </c>
      <c r="B203" t="s">
        <v>629</v>
      </c>
      <c r="C203" t="s">
        <v>635</v>
      </c>
      <c r="D203">
        <v>0</v>
      </c>
      <c r="E203" t="s">
        <v>631</v>
      </c>
      <c r="F203" t="s">
        <v>630</v>
      </c>
      <c r="G203">
        <v>3927</v>
      </c>
      <c r="H203">
        <v>800</v>
      </c>
      <c r="I203">
        <v>112</v>
      </c>
      <c r="J203">
        <v>360</v>
      </c>
      <c r="K203">
        <v>1</v>
      </c>
      <c r="L203" t="s">
        <v>646</v>
      </c>
      <c r="M203" t="s">
        <v>633</v>
      </c>
    </row>
    <row r="204" spans="1:13" x14ac:dyDescent="0.3">
      <c r="A204" t="s">
        <v>922</v>
      </c>
      <c r="B204" t="s">
        <v>629</v>
      </c>
      <c r="C204" t="s">
        <v>635</v>
      </c>
      <c r="D204">
        <v>2</v>
      </c>
      <c r="E204" t="s">
        <v>631</v>
      </c>
      <c r="F204" t="s">
        <v>630</v>
      </c>
      <c r="G204">
        <v>2301</v>
      </c>
      <c r="H204" s="1">
        <v>9857999878</v>
      </c>
      <c r="I204">
        <v>78</v>
      </c>
      <c r="J204">
        <v>180</v>
      </c>
      <c r="K204">
        <v>1</v>
      </c>
      <c r="L204" t="s">
        <v>632</v>
      </c>
      <c r="M204" t="s">
        <v>633</v>
      </c>
    </row>
    <row r="205" spans="1:13" x14ac:dyDescent="0.3">
      <c r="A205" t="s">
        <v>923</v>
      </c>
      <c r="B205" t="s">
        <v>657</v>
      </c>
      <c r="C205" t="s">
        <v>630</v>
      </c>
      <c r="D205">
        <v>0</v>
      </c>
      <c r="E205" t="s">
        <v>631</v>
      </c>
      <c r="F205" t="s">
        <v>630</v>
      </c>
      <c r="G205">
        <v>1811</v>
      </c>
      <c r="H205">
        <v>1666</v>
      </c>
      <c r="I205">
        <v>54</v>
      </c>
      <c r="J205">
        <v>360</v>
      </c>
      <c r="K205">
        <v>1</v>
      </c>
      <c r="L205" t="s">
        <v>632</v>
      </c>
      <c r="M205" t="s">
        <v>633</v>
      </c>
    </row>
    <row r="206" spans="1:13" x14ac:dyDescent="0.3">
      <c r="A206" t="s">
        <v>925</v>
      </c>
      <c r="B206" t="s">
        <v>629</v>
      </c>
      <c r="C206" t="s">
        <v>630</v>
      </c>
      <c r="D206">
        <v>0</v>
      </c>
      <c r="E206" t="s">
        <v>631</v>
      </c>
      <c r="F206" t="s">
        <v>630</v>
      </c>
      <c r="G206">
        <v>3158</v>
      </c>
      <c r="H206">
        <v>3053</v>
      </c>
      <c r="I206">
        <v>89</v>
      </c>
      <c r="J206">
        <v>360</v>
      </c>
      <c r="K206">
        <v>1</v>
      </c>
      <c r="L206" t="s">
        <v>636</v>
      </c>
      <c r="M206" t="s">
        <v>633</v>
      </c>
    </row>
    <row r="207" spans="1:13" x14ac:dyDescent="0.3">
      <c r="A207" t="s">
        <v>926</v>
      </c>
      <c r="B207" t="s">
        <v>657</v>
      </c>
      <c r="C207" t="s">
        <v>630</v>
      </c>
      <c r="D207">
        <v>0</v>
      </c>
      <c r="E207" t="s">
        <v>631</v>
      </c>
      <c r="F207" t="s">
        <v>635</v>
      </c>
      <c r="G207">
        <v>2600</v>
      </c>
      <c r="H207">
        <v>1717</v>
      </c>
      <c r="I207">
        <v>99</v>
      </c>
      <c r="J207">
        <v>300</v>
      </c>
      <c r="K207">
        <v>1</v>
      </c>
      <c r="L207" t="s">
        <v>646</v>
      </c>
      <c r="M207" t="s">
        <v>637</v>
      </c>
    </row>
    <row r="208" spans="1:13" x14ac:dyDescent="0.3">
      <c r="A208" t="s">
        <v>927</v>
      </c>
      <c r="B208" t="s">
        <v>629</v>
      </c>
      <c r="C208" t="s">
        <v>635</v>
      </c>
      <c r="D208">
        <v>0</v>
      </c>
      <c r="E208" t="s">
        <v>631</v>
      </c>
      <c r="F208" t="s">
        <v>630</v>
      </c>
      <c r="G208">
        <v>3704</v>
      </c>
      <c r="H208">
        <v>2000</v>
      </c>
      <c r="I208">
        <v>120</v>
      </c>
      <c r="J208">
        <v>360</v>
      </c>
      <c r="K208">
        <v>1</v>
      </c>
      <c r="L208" t="s">
        <v>636</v>
      </c>
      <c r="M208" t="s">
        <v>633</v>
      </c>
    </row>
    <row r="209" spans="1:13" x14ac:dyDescent="0.3">
      <c r="A209" t="s">
        <v>928</v>
      </c>
      <c r="B209" t="s">
        <v>657</v>
      </c>
      <c r="C209" t="s">
        <v>630</v>
      </c>
      <c r="D209">
        <v>0</v>
      </c>
      <c r="E209" t="s">
        <v>631</v>
      </c>
      <c r="F209" t="s">
        <v>630</v>
      </c>
      <c r="G209">
        <v>4124</v>
      </c>
      <c r="H209">
        <v>0</v>
      </c>
      <c r="I209">
        <v>115</v>
      </c>
      <c r="J209">
        <v>360</v>
      </c>
      <c r="K209">
        <v>1</v>
      </c>
      <c r="L209" t="s">
        <v>646</v>
      </c>
      <c r="M209" t="s">
        <v>633</v>
      </c>
    </row>
    <row r="210" spans="1:13" x14ac:dyDescent="0.3">
      <c r="A210" t="s">
        <v>929</v>
      </c>
      <c r="B210" t="s">
        <v>629</v>
      </c>
      <c r="C210" t="s">
        <v>630</v>
      </c>
      <c r="D210">
        <v>0</v>
      </c>
      <c r="E210" t="s">
        <v>631</v>
      </c>
      <c r="F210" t="s">
        <v>630</v>
      </c>
      <c r="G210">
        <v>9508</v>
      </c>
      <c r="H210">
        <v>0</v>
      </c>
      <c r="I210">
        <v>187</v>
      </c>
      <c r="J210">
        <v>360</v>
      </c>
      <c r="K210">
        <v>1</v>
      </c>
      <c r="L210" t="s">
        <v>636</v>
      </c>
      <c r="M210" t="s">
        <v>633</v>
      </c>
    </row>
    <row r="211" spans="1:13" x14ac:dyDescent="0.3">
      <c r="A211" t="s">
        <v>930</v>
      </c>
      <c r="B211" t="s">
        <v>629</v>
      </c>
      <c r="C211" t="s">
        <v>635</v>
      </c>
      <c r="D211">
        <v>0</v>
      </c>
      <c r="E211" t="s">
        <v>631</v>
      </c>
      <c r="F211" t="s">
        <v>630</v>
      </c>
      <c r="G211">
        <v>3075</v>
      </c>
      <c r="H211">
        <v>2416</v>
      </c>
      <c r="I211">
        <v>139</v>
      </c>
      <c r="J211">
        <v>360</v>
      </c>
      <c r="K211">
        <v>1</v>
      </c>
      <c r="L211" t="s">
        <v>636</v>
      </c>
      <c r="M211" t="s">
        <v>633</v>
      </c>
    </row>
    <row r="212" spans="1:13" x14ac:dyDescent="0.3">
      <c r="A212" t="s">
        <v>931</v>
      </c>
      <c r="B212" t="s">
        <v>629</v>
      </c>
      <c r="C212" t="s">
        <v>635</v>
      </c>
      <c r="D212">
        <v>2</v>
      </c>
      <c r="E212" t="s">
        <v>631</v>
      </c>
      <c r="F212" t="s">
        <v>630</v>
      </c>
      <c r="G212">
        <v>4400</v>
      </c>
      <c r="H212">
        <v>0</v>
      </c>
      <c r="I212">
        <v>127</v>
      </c>
      <c r="J212">
        <v>360</v>
      </c>
      <c r="K212">
        <v>0</v>
      </c>
      <c r="L212" t="s">
        <v>646</v>
      </c>
      <c r="M212" t="s">
        <v>637</v>
      </c>
    </row>
    <row r="213" spans="1:13" x14ac:dyDescent="0.3">
      <c r="A213" t="s">
        <v>932</v>
      </c>
      <c r="B213" t="s">
        <v>629</v>
      </c>
      <c r="C213" t="s">
        <v>635</v>
      </c>
      <c r="D213">
        <v>2</v>
      </c>
      <c r="E213" t="s">
        <v>631</v>
      </c>
      <c r="F213" t="s">
        <v>630</v>
      </c>
      <c r="G213">
        <v>3153</v>
      </c>
      <c r="H213">
        <v>1560</v>
      </c>
      <c r="I213">
        <v>134</v>
      </c>
      <c r="J213">
        <v>360</v>
      </c>
      <c r="K213">
        <v>1</v>
      </c>
      <c r="L213" t="s">
        <v>632</v>
      </c>
      <c r="M213" t="s">
        <v>633</v>
      </c>
    </row>
    <row r="214" spans="1:13" x14ac:dyDescent="0.3">
      <c r="A214" t="s">
        <v>934</v>
      </c>
      <c r="B214" t="s">
        <v>629</v>
      </c>
      <c r="C214" t="s">
        <v>635</v>
      </c>
      <c r="D214">
        <v>0</v>
      </c>
      <c r="E214" t="s">
        <v>631</v>
      </c>
      <c r="F214" t="s">
        <v>630</v>
      </c>
      <c r="G214">
        <v>2383</v>
      </c>
      <c r="H214">
        <v>3334</v>
      </c>
      <c r="I214">
        <v>172</v>
      </c>
      <c r="J214">
        <v>360</v>
      </c>
      <c r="K214">
        <v>1</v>
      </c>
      <c r="L214" t="s">
        <v>646</v>
      </c>
      <c r="M214" t="s">
        <v>633</v>
      </c>
    </row>
    <row r="215" spans="1:13" x14ac:dyDescent="0.3">
      <c r="A215" t="s">
        <v>936</v>
      </c>
      <c r="B215" t="s">
        <v>629</v>
      </c>
      <c r="C215" t="s">
        <v>635</v>
      </c>
      <c r="D215">
        <v>1</v>
      </c>
      <c r="E215" t="s">
        <v>631</v>
      </c>
      <c r="F215" t="s">
        <v>630</v>
      </c>
      <c r="G215">
        <v>6875</v>
      </c>
      <c r="H215">
        <v>0</v>
      </c>
      <c r="I215">
        <v>200</v>
      </c>
      <c r="J215">
        <v>360</v>
      </c>
      <c r="K215">
        <v>1</v>
      </c>
      <c r="L215" t="s">
        <v>646</v>
      </c>
      <c r="M215" t="s">
        <v>633</v>
      </c>
    </row>
    <row r="216" spans="1:13" x14ac:dyDescent="0.3">
      <c r="A216" t="s">
        <v>937</v>
      </c>
      <c r="B216" t="s">
        <v>657</v>
      </c>
      <c r="C216" t="s">
        <v>635</v>
      </c>
      <c r="D216">
        <v>1</v>
      </c>
      <c r="E216" t="s">
        <v>631</v>
      </c>
      <c r="F216" t="s">
        <v>630</v>
      </c>
      <c r="G216">
        <v>4666</v>
      </c>
      <c r="H216">
        <v>0</v>
      </c>
      <c r="I216">
        <v>135</v>
      </c>
      <c r="J216">
        <v>360</v>
      </c>
      <c r="K216">
        <v>1</v>
      </c>
      <c r="L216" t="s">
        <v>632</v>
      </c>
      <c r="M216" t="s">
        <v>633</v>
      </c>
    </row>
    <row r="217" spans="1:13" x14ac:dyDescent="0.3">
      <c r="A217" t="s">
        <v>938</v>
      </c>
      <c r="B217" t="s">
        <v>657</v>
      </c>
      <c r="C217" t="s">
        <v>630</v>
      </c>
      <c r="D217">
        <v>0</v>
      </c>
      <c r="E217" t="s">
        <v>631</v>
      </c>
      <c r="F217" t="s">
        <v>630</v>
      </c>
      <c r="G217">
        <v>5000</v>
      </c>
      <c r="H217">
        <v>2541</v>
      </c>
      <c r="I217">
        <v>151</v>
      </c>
      <c r="J217">
        <v>480</v>
      </c>
      <c r="K217">
        <v>1</v>
      </c>
      <c r="L217" t="s">
        <v>636</v>
      </c>
      <c r="M217" t="s">
        <v>637</v>
      </c>
    </row>
    <row r="218" spans="1:13" x14ac:dyDescent="0.3">
      <c r="A218" t="s">
        <v>939</v>
      </c>
      <c r="B218" t="s">
        <v>629</v>
      </c>
      <c r="C218" t="s">
        <v>635</v>
      </c>
      <c r="D218">
        <v>1</v>
      </c>
      <c r="E218" t="s">
        <v>631</v>
      </c>
      <c r="F218" t="s">
        <v>630</v>
      </c>
      <c r="G218">
        <v>2014</v>
      </c>
      <c r="H218">
        <v>2925</v>
      </c>
      <c r="I218">
        <v>113</v>
      </c>
      <c r="J218">
        <v>360</v>
      </c>
      <c r="K218">
        <v>1</v>
      </c>
      <c r="L218" t="s">
        <v>632</v>
      </c>
      <c r="M218" t="s">
        <v>637</v>
      </c>
    </row>
    <row r="219" spans="1:13" x14ac:dyDescent="0.3">
      <c r="A219" t="s">
        <v>940</v>
      </c>
      <c r="B219" t="s">
        <v>629</v>
      </c>
      <c r="C219" t="s">
        <v>635</v>
      </c>
      <c r="D219">
        <v>0</v>
      </c>
      <c r="E219" t="s">
        <v>640</v>
      </c>
      <c r="F219" t="s">
        <v>630</v>
      </c>
      <c r="G219">
        <v>1800</v>
      </c>
      <c r="H219">
        <v>2934</v>
      </c>
      <c r="I219">
        <v>93</v>
      </c>
      <c r="J219">
        <v>360</v>
      </c>
      <c r="K219">
        <v>0</v>
      </c>
      <c r="L219" t="s">
        <v>632</v>
      </c>
      <c r="M219" t="s">
        <v>637</v>
      </c>
    </row>
    <row r="220" spans="1:13" x14ac:dyDescent="0.3">
      <c r="A220" t="s">
        <v>942</v>
      </c>
      <c r="B220" t="s">
        <v>657</v>
      </c>
      <c r="C220" t="s">
        <v>630</v>
      </c>
      <c r="D220">
        <v>0</v>
      </c>
      <c r="E220" t="s">
        <v>631</v>
      </c>
      <c r="F220" t="s">
        <v>630</v>
      </c>
      <c r="G220">
        <v>5000</v>
      </c>
      <c r="H220">
        <v>0</v>
      </c>
      <c r="I220">
        <v>132</v>
      </c>
      <c r="J220">
        <v>360</v>
      </c>
      <c r="K220">
        <v>1</v>
      </c>
      <c r="L220" t="s">
        <v>636</v>
      </c>
      <c r="M220" t="s">
        <v>633</v>
      </c>
    </row>
    <row r="221" spans="1:13" x14ac:dyDescent="0.3">
      <c r="A221" t="s">
        <v>943</v>
      </c>
      <c r="B221" t="s">
        <v>629</v>
      </c>
      <c r="C221" t="s">
        <v>635</v>
      </c>
      <c r="D221">
        <v>1</v>
      </c>
      <c r="E221" t="s">
        <v>631</v>
      </c>
      <c r="F221" t="s">
        <v>630</v>
      </c>
      <c r="G221">
        <v>1625</v>
      </c>
      <c r="H221">
        <v>1803</v>
      </c>
      <c r="I221">
        <v>96</v>
      </c>
      <c r="J221">
        <v>360</v>
      </c>
      <c r="K221">
        <v>1</v>
      </c>
      <c r="L221" t="s">
        <v>632</v>
      </c>
      <c r="M221" t="s">
        <v>633</v>
      </c>
    </row>
    <row r="222" spans="1:13" x14ac:dyDescent="0.3">
      <c r="A222" t="s">
        <v>944</v>
      </c>
      <c r="B222" t="s">
        <v>629</v>
      </c>
      <c r="C222" t="s">
        <v>630</v>
      </c>
      <c r="D222">
        <v>0</v>
      </c>
      <c r="E222" t="s">
        <v>631</v>
      </c>
      <c r="F222" t="s">
        <v>630</v>
      </c>
      <c r="G222">
        <v>4000</v>
      </c>
      <c r="H222">
        <v>2500</v>
      </c>
      <c r="I222">
        <v>140</v>
      </c>
      <c r="J222">
        <v>360</v>
      </c>
      <c r="K222">
        <v>1</v>
      </c>
      <c r="L222" t="s">
        <v>636</v>
      </c>
      <c r="M222" t="s">
        <v>633</v>
      </c>
    </row>
    <row r="223" spans="1:13" x14ac:dyDescent="0.3">
      <c r="A223" t="s">
        <v>946</v>
      </c>
      <c r="B223" t="s">
        <v>657</v>
      </c>
      <c r="C223" t="s">
        <v>630</v>
      </c>
      <c r="D223">
        <v>0</v>
      </c>
      <c r="E223" t="s">
        <v>631</v>
      </c>
      <c r="F223" t="s">
        <v>630</v>
      </c>
      <c r="G223">
        <v>3762</v>
      </c>
      <c r="H223">
        <v>1666</v>
      </c>
      <c r="I223">
        <v>135</v>
      </c>
      <c r="J223">
        <v>360</v>
      </c>
      <c r="K223">
        <v>1</v>
      </c>
      <c r="L223" t="s">
        <v>636</v>
      </c>
      <c r="M223" t="s">
        <v>633</v>
      </c>
    </row>
    <row r="224" spans="1:13" x14ac:dyDescent="0.3">
      <c r="A224" t="s">
        <v>947</v>
      </c>
      <c r="B224" t="s">
        <v>657</v>
      </c>
      <c r="C224" t="s">
        <v>630</v>
      </c>
      <c r="D224">
        <v>0</v>
      </c>
      <c r="E224" t="s">
        <v>631</v>
      </c>
      <c r="F224" t="s">
        <v>630</v>
      </c>
      <c r="G224">
        <v>2400</v>
      </c>
      <c r="H224">
        <v>1863</v>
      </c>
      <c r="I224">
        <v>104</v>
      </c>
      <c r="J224">
        <v>360</v>
      </c>
      <c r="K224">
        <v>0</v>
      </c>
      <c r="L224" t="s">
        <v>632</v>
      </c>
      <c r="M224" t="s">
        <v>637</v>
      </c>
    </row>
    <row r="225" spans="1:13" x14ac:dyDescent="0.3">
      <c r="A225" t="s">
        <v>950</v>
      </c>
      <c r="B225" t="s">
        <v>657</v>
      </c>
      <c r="C225" t="s">
        <v>630</v>
      </c>
      <c r="D225">
        <v>0</v>
      </c>
      <c r="E225" t="s">
        <v>631</v>
      </c>
      <c r="F225" t="s">
        <v>630</v>
      </c>
      <c r="G225">
        <v>2917</v>
      </c>
      <c r="H225">
        <v>0</v>
      </c>
      <c r="I225">
        <v>84</v>
      </c>
      <c r="J225">
        <v>360</v>
      </c>
      <c r="K225">
        <v>1</v>
      </c>
      <c r="L225" t="s">
        <v>646</v>
      </c>
      <c r="M225" t="s">
        <v>633</v>
      </c>
    </row>
    <row r="226" spans="1:13" x14ac:dyDescent="0.3">
      <c r="A226" t="s">
        <v>951</v>
      </c>
      <c r="B226" t="s">
        <v>629</v>
      </c>
      <c r="C226" t="s">
        <v>630</v>
      </c>
      <c r="D226">
        <v>0</v>
      </c>
      <c r="E226" t="s">
        <v>640</v>
      </c>
      <c r="F226" t="s">
        <v>630</v>
      </c>
      <c r="G226">
        <v>2927</v>
      </c>
      <c r="H226">
        <v>2405</v>
      </c>
      <c r="I226">
        <v>111</v>
      </c>
      <c r="J226">
        <v>360</v>
      </c>
      <c r="K226">
        <v>1</v>
      </c>
      <c r="L226" t="s">
        <v>646</v>
      </c>
      <c r="M226" t="s">
        <v>633</v>
      </c>
    </row>
    <row r="227" spans="1:13" x14ac:dyDescent="0.3">
      <c r="A227" t="s">
        <v>952</v>
      </c>
      <c r="B227" t="s">
        <v>657</v>
      </c>
      <c r="C227" t="s">
        <v>630</v>
      </c>
      <c r="D227">
        <v>0</v>
      </c>
      <c r="E227" t="s">
        <v>631</v>
      </c>
      <c r="F227" t="s">
        <v>630</v>
      </c>
      <c r="G227">
        <v>2507</v>
      </c>
      <c r="H227">
        <v>0</v>
      </c>
      <c r="I227">
        <v>56</v>
      </c>
      <c r="J227">
        <v>360</v>
      </c>
      <c r="K227">
        <v>1</v>
      </c>
      <c r="L227" t="s">
        <v>636</v>
      </c>
      <c r="M227" t="s">
        <v>633</v>
      </c>
    </row>
    <row r="228" spans="1:13" x14ac:dyDescent="0.3">
      <c r="A228" t="s">
        <v>955</v>
      </c>
      <c r="B228" t="s">
        <v>629</v>
      </c>
      <c r="C228" t="s">
        <v>635</v>
      </c>
      <c r="D228">
        <v>1</v>
      </c>
      <c r="E228" t="s">
        <v>640</v>
      </c>
      <c r="F228" t="s">
        <v>630</v>
      </c>
      <c r="G228">
        <v>3399</v>
      </c>
      <c r="H228">
        <v>1640</v>
      </c>
      <c r="I228">
        <v>111</v>
      </c>
      <c r="J228">
        <v>180</v>
      </c>
      <c r="K228">
        <v>1</v>
      </c>
      <c r="L228" t="s">
        <v>632</v>
      </c>
      <c r="M228" t="s">
        <v>633</v>
      </c>
    </row>
    <row r="229" spans="1:13" x14ac:dyDescent="0.3">
      <c r="A229" t="s">
        <v>956</v>
      </c>
      <c r="B229" t="s">
        <v>629</v>
      </c>
      <c r="C229" t="s">
        <v>635</v>
      </c>
      <c r="D229">
        <v>2</v>
      </c>
      <c r="E229" t="s">
        <v>631</v>
      </c>
      <c r="F229" t="s">
        <v>630</v>
      </c>
      <c r="G229">
        <v>3717</v>
      </c>
      <c r="H229">
        <v>0</v>
      </c>
      <c r="I229">
        <v>120</v>
      </c>
      <c r="J229">
        <v>360</v>
      </c>
      <c r="K229">
        <v>1</v>
      </c>
      <c r="L229" t="s">
        <v>646</v>
      </c>
      <c r="M229" t="s">
        <v>633</v>
      </c>
    </row>
    <row r="230" spans="1:13" x14ac:dyDescent="0.3">
      <c r="A230" t="s">
        <v>959</v>
      </c>
      <c r="B230" t="s">
        <v>629</v>
      </c>
      <c r="C230" t="s">
        <v>635</v>
      </c>
      <c r="D230">
        <v>1</v>
      </c>
      <c r="E230" t="s">
        <v>631</v>
      </c>
      <c r="F230" t="s">
        <v>635</v>
      </c>
      <c r="G230">
        <v>10000</v>
      </c>
      <c r="H230">
        <v>0</v>
      </c>
      <c r="I230">
        <v>155</v>
      </c>
      <c r="J230">
        <v>360</v>
      </c>
      <c r="K230">
        <v>1</v>
      </c>
      <c r="L230" t="s">
        <v>636</v>
      </c>
      <c r="M230" t="s">
        <v>637</v>
      </c>
    </row>
    <row r="231" spans="1:13" x14ac:dyDescent="0.3">
      <c r="A231" t="s">
        <v>960</v>
      </c>
      <c r="B231" t="s">
        <v>629</v>
      </c>
      <c r="C231" t="s">
        <v>635</v>
      </c>
      <c r="D231">
        <v>0</v>
      </c>
      <c r="E231" t="s">
        <v>631</v>
      </c>
      <c r="F231" t="s">
        <v>630</v>
      </c>
      <c r="G231">
        <v>2400</v>
      </c>
      <c r="H231">
        <v>2167</v>
      </c>
      <c r="I231">
        <v>115</v>
      </c>
      <c r="J231">
        <v>360</v>
      </c>
      <c r="K231">
        <v>1</v>
      </c>
      <c r="L231" t="s">
        <v>646</v>
      </c>
      <c r="M231" t="s">
        <v>633</v>
      </c>
    </row>
    <row r="232" spans="1:13" x14ac:dyDescent="0.3">
      <c r="A232" t="s">
        <v>961</v>
      </c>
      <c r="B232" t="s">
        <v>629</v>
      </c>
      <c r="C232" t="s">
        <v>635</v>
      </c>
      <c r="D232" t="s">
        <v>645</v>
      </c>
      <c r="E232" t="s">
        <v>631</v>
      </c>
      <c r="F232" t="s">
        <v>630</v>
      </c>
      <c r="G232">
        <v>4342</v>
      </c>
      <c r="H232">
        <v>189</v>
      </c>
      <c r="I232">
        <v>124</v>
      </c>
      <c r="J232">
        <v>360</v>
      </c>
      <c r="K232">
        <v>1</v>
      </c>
      <c r="L232" t="s">
        <v>646</v>
      </c>
      <c r="M232" t="s">
        <v>633</v>
      </c>
    </row>
    <row r="233" spans="1:13" x14ac:dyDescent="0.3">
      <c r="A233" t="s">
        <v>966</v>
      </c>
      <c r="B233" t="s">
        <v>629</v>
      </c>
      <c r="C233" t="s">
        <v>630</v>
      </c>
      <c r="D233">
        <v>0</v>
      </c>
      <c r="E233" t="s">
        <v>631</v>
      </c>
      <c r="F233" t="s">
        <v>630</v>
      </c>
      <c r="G233">
        <v>4917</v>
      </c>
      <c r="H233">
        <v>0</v>
      </c>
      <c r="I233">
        <v>130</v>
      </c>
      <c r="J233">
        <v>360</v>
      </c>
      <c r="K233">
        <v>0</v>
      </c>
      <c r="L233" t="s">
        <v>636</v>
      </c>
      <c r="M233" t="s">
        <v>633</v>
      </c>
    </row>
    <row r="234" spans="1:13" x14ac:dyDescent="0.3">
      <c r="A234" t="s">
        <v>967</v>
      </c>
      <c r="B234" t="s">
        <v>629</v>
      </c>
      <c r="C234" t="s">
        <v>635</v>
      </c>
      <c r="D234">
        <v>0</v>
      </c>
      <c r="E234" t="s">
        <v>631</v>
      </c>
      <c r="F234" t="s">
        <v>635</v>
      </c>
      <c r="G234">
        <v>5818</v>
      </c>
      <c r="H234">
        <v>2160</v>
      </c>
      <c r="I234">
        <v>184</v>
      </c>
      <c r="J234">
        <v>360</v>
      </c>
      <c r="K234">
        <v>1</v>
      </c>
      <c r="L234" t="s">
        <v>646</v>
      </c>
      <c r="M234" t="s">
        <v>633</v>
      </c>
    </row>
    <row r="235" spans="1:13" x14ac:dyDescent="0.3">
      <c r="A235" t="s">
        <v>968</v>
      </c>
      <c r="B235" t="s">
        <v>657</v>
      </c>
      <c r="C235" t="s">
        <v>635</v>
      </c>
      <c r="D235">
        <v>0</v>
      </c>
      <c r="E235" t="s">
        <v>631</v>
      </c>
      <c r="F235" t="s">
        <v>630</v>
      </c>
      <c r="G235">
        <v>4333</v>
      </c>
      <c r="H235">
        <v>2451</v>
      </c>
      <c r="I235">
        <v>110</v>
      </c>
      <c r="J235">
        <v>360</v>
      </c>
      <c r="K235">
        <v>1</v>
      </c>
      <c r="L235" t="s">
        <v>632</v>
      </c>
      <c r="M235" t="s">
        <v>637</v>
      </c>
    </row>
    <row r="236" spans="1:13" x14ac:dyDescent="0.3">
      <c r="A236" t="s">
        <v>969</v>
      </c>
      <c r="B236" t="s">
        <v>657</v>
      </c>
      <c r="C236" t="s">
        <v>630</v>
      </c>
      <c r="D236">
        <v>0</v>
      </c>
      <c r="E236" t="s">
        <v>631</v>
      </c>
      <c r="F236" t="s">
        <v>630</v>
      </c>
      <c r="G236">
        <v>2500</v>
      </c>
      <c r="H236">
        <v>0</v>
      </c>
      <c r="I236">
        <v>67</v>
      </c>
      <c r="J236">
        <v>360</v>
      </c>
      <c r="K236">
        <v>1</v>
      </c>
      <c r="L236" t="s">
        <v>632</v>
      </c>
      <c r="M236" t="s">
        <v>633</v>
      </c>
    </row>
    <row r="237" spans="1:13" x14ac:dyDescent="0.3">
      <c r="A237" t="s">
        <v>970</v>
      </c>
      <c r="B237" t="s">
        <v>629</v>
      </c>
      <c r="C237" t="s">
        <v>630</v>
      </c>
      <c r="D237">
        <v>1</v>
      </c>
      <c r="E237" t="s">
        <v>631</v>
      </c>
      <c r="F237" t="s">
        <v>630</v>
      </c>
      <c r="G237">
        <v>4384</v>
      </c>
      <c r="H237">
        <v>1793</v>
      </c>
      <c r="I237">
        <v>117</v>
      </c>
      <c r="J237">
        <v>360</v>
      </c>
      <c r="K237">
        <v>1</v>
      </c>
      <c r="L237" t="s">
        <v>632</v>
      </c>
      <c r="M237" t="s">
        <v>633</v>
      </c>
    </row>
    <row r="238" spans="1:13" x14ac:dyDescent="0.3">
      <c r="A238" t="s">
        <v>971</v>
      </c>
      <c r="B238" t="s">
        <v>629</v>
      </c>
      <c r="C238" t="s">
        <v>630</v>
      </c>
      <c r="D238">
        <v>0</v>
      </c>
      <c r="E238" t="s">
        <v>631</v>
      </c>
      <c r="F238" t="s">
        <v>630</v>
      </c>
      <c r="G238">
        <v>2935</v>
      </c>
      <c r="H238">
        <v>0</v>
      </c>
      <c r="I238">
        <v>98</v>
      </c>
      <c r="J238">
        <v>360</v>
      </c>
      <c r="K238">
        <v>1</v>
      </c>
      <c r="L238" t="s">
        <v>646</v>
      </c>
      <c r="M238" t="s">
        <v>633</v>
      </c>
    </row>
    <row r="239" spans="1:13" x14ac:dyDescent="0.3">
      <c r="A239" t="s">
        <v>977</v>
      </c>
      <c r="B239" t="s">
        <v>629</v>
      </c>
      <c r="C239" t="s">
        <v>635</v>
      </c>
      <c r="D239">
        <v>2</v>
      </c>
      <c r="E239" t="s">
        <v>631</v>
      </c>
      <c r="F239" t="s">
        <v>635</v>
      </c>
      <c r="G239">
        <v>2500</v>
      </c>
      <c r="H239">
        <v>4600</v>
      </c>
      <c r="I239">
        <v>176</v>
      </c>
      <c r="J239">
        <v>360</v>
      </c>
      <c r="K239">
        <v>1</v>
      </c>
      <c r="L239" t="s">
        <v>636</v>
      </c>
      <c r="M239" t="s">
        <v>633</v>
      </c>
    </row>
    <row r="240" spans="1:13" x14ac:dyDescent="0.3">
      <c r="A240" t="s">
        <v>979</v>
      </c>
      <c r="B240" t="s">
        <v>657</v>
      </c>
      <c r="C240" t="s">
        <v>630</v>
      </c>
      <c r="D240">
        <v>0</v>
      </c>
      <c r="E240" t="s">
        <v>631</v>
      </c>
      <c r="F240" t="s">
        <v>630</v>
      </c>
      <c r="G240">
        <v>4160</v>
      </c>
      <c r="H240">
        <v>0</v>
      </c>
      <c r="I240">
        <v>71</v>
      </c>
      <c r="J240">
        <v>360</v>
      </c>
      <c r="K240">
        <v>1</v>
      </c>
      <c r="L240" t="s">
        <v>646</v>
      </c>
      <c r="M240" t="s">
        <v>633</v>
      </c>
    </row>
    <row r="241" spans="1:13" x14ac:dyDescent="0.3">
      <c r="A241" t="s">
        <v>980</v>
      </c>
      <c r="B241" t="s">
        <v>629</v>
      </c>
      <c r="C241" t="s">
        <v>635</v>
      </c>
      <c r="D241" t="s">
        <v>645</v>
      </c>
      <c r="E241" t="s">
        <v>640</v>
      </c>
      <c r="F241" t="s">
        <v>630</v>
      </c>
      <c r="G241">
        <v>2647</v>
      </c>
      <c r="H241">
        <v>1587</v>
      </c>
      <c r="I241">
        <v>173</v>
      </c>
      <c r="J241">
        <v>360</v>
      </c>
      <c r="K241">
        <v>1</v>
      </c>
      <c r="L241" t="s">
        <v>636</v>
      </c>
      <c r="M241" t="s">
        <v>637</v>
      </c>
    </row>
    <row r="242" spans="1:13" x14ac:dyDescent="0.3">
      <c r="A242" t="s">
        <v>981</v>
      </c>
      <c r="B242" t="s">
        <v>657</v>
      </c>
      <c r="C242" t="s">
        <v>630</v>
      </c>
      <c r="D242">
        <v>0</v>
      </c>
      <c r="E242" t="s">
        <v>631</v>
      </c>
      <c r="F242" t="s">
        <v>630</v>
      </c>
      <c r="G242">
        <v>2378</v>
      </c>
      <c r="H242">
        <v>0</v>
      </c>
      <c r="I242">
        <v>46</v>
      </c>
      <c r="J242">
        <v>360</v>
      </c>
      <c r="K242">
        <v>1</v>
      </c>
      <c r="L242" t="s">
        <v>636</v>
      </c>
      <c r="M242" t="s">
        <v>637</v>
      </c>
    </row>
    <row r="243" spans="1:13" x14ac:dyDescent="0.3">
      <c r="A243" t="s">
        <v>982</v>
      </c>
      <c r="B243" t="s">
        <v>629</v>
      </c>
      <c r="C243" t="s">
        <v>635</v>
      </c>
      <c r="D243">
        <v>1</v>
      </c>
      <c r="E243" t="s">
        <v>640</v>
      </c>
      <c r="F243" t="s">
        <v>630</v>
      </c>
      <c r="G243">
        <v>4554</v>
      </c>
      <c r="H243">
        <v>1229</v>
      </c>
      <c r="I243">
        <v>158</v>
      </c>
      <c r="J243">
        <v>360</v>
      </c>
      <c r="K243">
        <v>1</v>
      </c>
      <c r="L243" t="s">
        <v>632</v>
      </c>
      <c r="M243" t="s">
        <v>633</v>
      </c>
    </row>
    <row r="244" spans="1:13" x14ac:dyDescent="0.3">
      <c r="A244" t="s">
        <v>983</v>
      </c>
      <c r="B244" t="s">
        <v>629</v>
      </c>
      <c r="C244" t="s">
        <v>635</v>
      </c>
      <c r="D244" t="s">
        <v>645</v>
      </c>
      <c r="E244" t="s">
        <v>640</v>
      </c>
      <c r="F244" t="s">
        <v>630</v>
      </c>
      <c r="G244">
        <v>3173</v>
      </c>
      <c r="H244">
        <v>0</v>
      </c>
      <c r="I244">
        <v>74</v>
      </c>
      <c r="J244">
        <v>360</v>
      </c>
      <c r="K244">
        <v>1</v>
      </c>
      <c r="L244" t="s">
        <v>646</v>
      </c>
      <c r="M244" t="s">
        <v>633</v>
      </c>
    </row>
    <row r="245" spans="1:13" x14ac:dyDescent="0.3">
      <c r="A245" t="s">
        <v>985</v>
      </c>
      <c r="B245" t="s">
        <v>629</v>
      </c>
      <c r="C245" t="s">
        <v>635</v>
      </c>
      <c r="D245">
        <v>0</v>
      </c>
      <c r="E245" t="s">
        <v>631</v>
      </c>
      <c r="F245" t="s">
        <v>630</v>
      </c>
      <c r="G245">
        <v>2499</v>
      </c>
      <c r="H245">
        <v>2458</v>
      </c>
      <c r="I245">
        <v>160</v>
      </c>
      <c r="J245">
        <v>360</v>
      </c>
      <c r="K245">
        <v>1</v>
      </c>
      <c r="L245" t="s">
        <v>646</v>
      </c>
      <c r="M245" t="s">
        <v>633</v>
      </c>
    </row>
    <row r="246" spans="1:13" x14ac:dyDescent="0.3">
      <c r="A246" t="s">
        <v>987</v>
      </c>
      <c r="B246" t="s">
        <v>629</v>
      </c>
      <c r="C246" t="s">
        <v>635</v>
      </c>
      <c r="D246">
        <v>2</v>
      </c>
      <c r="E246" t="s">
        <v>640</v>
      </c>
      <c r="F246" t="s">
        <v>630</v>
      </c>
      <c r="G246">
        <v>3083</v>
      </c>
      <c r="H246">
        <v>2168</v>
      </c>
      <c r="I246">
        <v>126</v>
      </c>
      <c r="J246">
        <v>360</v>
      </c>
      <c r="K246">
        <v>1</v>
      </c>
      <c r="L246" t="s">
        <v>632</v>
      </c>
      <c r="M246" t="s">
        <v>633</v>
      </c>
    </row>
    <row r="247" spans="1:13" x14ac:dyDescent="0.3">
      <c r="A247" t="s">
        <v>989</v>
      </c>
      <c r="B247" t="s">
        <v>629</v>
      </c>
      <c r="C247" t="s">
        <v>635</v>
      </c>
      <c r="D247">
        <v>0</v>
      </c>
      <c r="E247" t="s">
        <v>631</v>
      </c>
      <c r="F247" t="s">
        <v>630</v>
      </c>
      <c r="G247">
        <v>2625</v>
      </c>
      <c r="H247">
        <v>6250</v>
      </c>
      <c r="I247">
        <v>187</v>
      </c>
      <c r="J247">
        <v>360</v>
      </c>
      <c r="K247">
        <v>1</v>
      </c>
      <c r="L247" t="s">
        <v>636</v>
      </c>
      <c r="M247" t="s">
        <v>633</v>
      </c>
    </row>
    <row r="248" spans="1:13" x14ac:dyDescent="0.3">
      <c r="A248" t="s">
        <v>990</v>
      </c>
      <c r="B248" t="s">
        <v>629</v>
      </c>
      <c r="C248" t="s">
        <v>635</v>
      </c>
      <c r="D248">
        <v>0</v>
      </c>
      <c r="E248" t="s">
        <v>631</v>
      </c>
      <c r="F248" t="s">
        <v>630</v>
      </c>
      <c r="G248">
        <v>9083</v>
      </c>
      <c r="H248">
        <v>0</v>
      </c>
      <c r="I248">
        <v>228</v>
      </c>
      <c r="J248">
        <v>360</v>
      </c>
      <c r="K248">
        <v>1</v>
      </c>
      <c r="L248" t="s">
        <v>646</v>
      </c>
      <c r="M248" t="s">
        <v>633</v>
      </c>
    </row>
    <row r="249" spans="1:13" x14ac:dyDescent="0.3">
      <c r="A249" t="s">
        <v>992</v>
      </c>
      <c r="B249" t="s">
        <v>629</v>
      </c>
      <c r="C249" t="s">
        <v>635</v>
      </c>
      <c r="D249" t="s">
        <v>645</v>
      </c>
      <c r="E249" t="s">
        <v>631</v>
      </c>
      <c r="F249" t="s">
        <v>630</v>
      </c>
      <c r="G249">
        <v>2666</v>
      </c>
      <c r="H249">
        <v>2083</v>
      </c>
      <c r="I249">
        <v>95</v>
      </c>
      <c r="J249">
        <v>360</v>
      </c>
      <c r="K249">
        <v>1</v>
      </c>
      <c r="L249" t="s">
        <v>636</v>
      </c>
      <c r="M249" t="s">
        <v>633</v>
      </c>
    </row>
    <row r="250" spans="1:13" x14ac:dyDescent="0.3">
      <c r="A250" t="s">
        <v>993</v>
      </c>
      <c r="B250" t="s">
        <v>657</v>
      </c>
      <c r="C250" t="s">
        <v>635</v>
      </c>
      <c r="D250">
        <v>0</v>
      </c>
      <c r="E250" t="s">
        <v>631</v>
      </c>
      <c r="F250" t="s">
        <v>635</v>
      </c>
      <c r="G250">
        <v>5500</v>
      </c>
      <c r="H250">
        <v>0</v>
      </c>
      <c r="I250">
        <v>105</v>
      </c>
      <c r="J250">
        <v>360</v>
      </c>
      <c r="K250">
        <v>0</v>
      </c>
      <c r="L250" t="s">
        <v>636</v>
      </c>
      <c r="M250" t="s">
        <v>637</v>
      </c>
    </row>
    <row r="251" spans="1:13" x14ac:dyDescent="0.3">
      <c r="A251" t="s">
        <v>994</v>
      </c>
      <c r="B251" t="s">
        <v>657</v>
      </c>
      <c r="C251" t="s">
        <v>635</v>
      </c>
      <c r="D251">
        <v>0</v>
      </c>
      <c r="E251" t="s">
        <v>631</v>
      </c>
      <c r="F251" t="s">
        <v>630</v>
      </c>
      <c r="G251">
        <v>2423</v>
      </c>
      <c r="H251">
        <v>505</v>
      </c>
      <c r="I251">
        <v>130</v>
      </c>
      <c r="J251">
        <v>360</v>
      </c>
      <c r="K251">
        <v>1</v>
      </c>
      <c r="L251" t="s">
        <v>646</v>
      </c>
      <c r="M251" t="s">
        <v>633</v>
      </c>
    </row>
    <row r="252" spans="1:13" x14ac:dyDescent="0.3">
      <c r="A252" t="s">
        <v>996</v>
      </c>
      <c r="B252" t="s">
        <v>629</v>
      </c>
      <c r="C252" t="s">
        <v>635</v>
      </c>
      <c r="D252">
        <v>2</v>
      </c>
      <c r="E252" t="s">
        <v>631</v>
      </c>
      <c r="F252" t="s">
        <v>630</v>
      </c>
      <c r="G252">
        <v>8333</v>
      </c>
      <c r="H252">
        <v>3167</v>
      </c>
      <c r="I252">
        <v>165</v>
      </c>
      <c r="J252">
        <v>360</v>
      </c>
      <c r="K252">
        <v>1</v>
      </c>
      <c r="L252" t="s">
        <v>636</v>
      </c>
      <c r="M252" t="s">
        <v>633</v>
      </c>
    </row>
    <row r="253" spans="1:13" x14ac:dyDescent="0.3">
      <c r="A253" t="s">
        <v>997</v>
      </c>
      <c r="B253" t="s">
        <v>629</v>
      </c>
      <c r="C253" t="s">
        <v>635</v>
      </c>
      <c r="D253">
        <v>1</v>
      </c>
      <c r="E253" t="s">
        <v>631</v>
      </c>
      <c r="F253" t="s">
        <v>630</v>
      </c>
      <c r="G253">
        <v>3875</v>
      </c>
      <c r="H253">
        <v>0</v>
      </c>
      <c r="I253">
        <v>67</v>
      </c>
      <c r="J253">
        <v>360</v>
      </c>
      <c r="K253">
        <v>1</v>
      </c>
      <c r="L253" t="s">
        <v>632</v>
      </c>
      <c r="M253" t="s">
        <v>637</v>
      </c>
    </row>
    <row r="254" spans="1:13" x14ac:dyDescent="0.3">
      <c r="A254" t="s">
        <v>998</v>
      </c>
      <c r="B254" t="s">
        <v>629</v>
      </c>
      <c r="C254" t="s">
        <v>635</v>
      </c>
      <c r="D254">
        <v>0</v>
      </c>
      <c r="E254" t="s">
        <v>640</v>
      </c>
      <c r="F254" t="s">
        <v>630</v>
      </c>
      <c r="G254">
        <v>3000</v>
      </c>
      <c r="H254">
        <v>1666</v>
      </c>
      <c r="I254">
        <v>100</v>
      </c>
      <c r="J254">
        <v>480</v>
      </c>
      <c r="K254">
        <v>0</v>
      </c>
      <c r="L254" t="s">
        <v>632</v>
      </c>
      <c r="M254" t="s">
        <v>637</v>
      </c>
    </row>
    <row r="255" spans="1:13" x14ac:dyDescent="0.3">
      <c r="A255" t="s">
        <v>999</v>
      </c>
      <c r="B255" t="s">
        <v>629</v>
      </c>
      <c r="C255" t="s">
        <v>635</v>
      </c>
      <c r="D255" t="s">
        <v>645</v>
      </c>
      <c r="E255" t="s">
        <v>631</v>
      </c>
      <c r="F255" t="s">
        <v>630</v>
      </c>
      <c r="G255">
        <v>5167</v>
      </c>
      <c r="H255">
        <v>3167</v>
      </c>
      <c r="I255">
        <v>200</v>
      </c>
      <c r="J255">
        <v>360</v>
      </c>
      <c r="K255">
        <v>1</v>
      </c>
      <c r="L255" t="s">
        <v>646</v>
      </c>
      <c r="M255" t="s">
        <v>633</v>
      </c>
    </row>
    <row r="256" spans="1:13" x14ac:dyDescent="0.3">
      <c r="A256" t="s">
        <v>1000</v>
      </c>
      <c r="B256" t="s">
        <v>657</v>
      </c>
      <c r="C256" t="s">
        <v>630</v>
      </c>
      <c r="D256">
        <v>1</v>
      </c>
      <c r="E256" t="s">
        <v>631</v>
      </c>
      <c r="F256" t="s">
        <v>630</v>
      </c>
      <c r="G256">
        <v>4723</v>
      </c>
      <c r="H256">
        <v>0</v>
      </c>
      <c r="I256">
        <v>81</v>
      </c>
      <c r="J256">
        <v>360</v>
      </c>
      <c r="K256">
        <v>1</v>
      </c>
      <c r="L256" t="s">
        <v>646</v>
      </c>
      <c r="M256" t="s">
        <v>637</v>
      </c>
    </row>
    <row r="257" spans="1:13" x14ac:dyDescent="0.3">
      <c r="A257" t="s">
        <v>1001</v>
      </c>
      <c r="B257" t="s">
        <v>629</v>
      </c>
      <c r="C257" t="s">
        <v>635</v>
      </c>
      <c r="D257">
        <v>2</v>
      </c>
      <c r="E257" t="s">
        <v>631</v>
      </c>
      <c r="F257" t="s">
        <v>630</v>
      </c>
      <c r="G257">
        <v>5000</v>
      </c>
      <c r="H257">
        <v>3667</v>
      </c>
      <c r="I257">
        <v>236</v>
      </c>
      <c r="J257">
        <v>360</v>
      </c>
      <c r="K257">
        <v>1</v>
      </c>
      <c r="L257" t="s">
        <v>646</v>
      </c>
      <c r="M257" t="s">
        <v>633</v>
      </c>
    </row>
    <row r="258" spans="1:13" x14ac:dyDescent="0.3">
      <c r="A258" t="s">
        <v>1002</v>
      </c>
      <c r="B258" t="s">
        <v>629</v>
      </c>
      <c r="C258" t="s">
        <v>635</v>
      </c>
      <c r="D258">
        <v>0</v>
      </c>
      <c r="E258" t="s">
        <v>631</v>
      </c>
      <c r="F258" t="s">
        <v>630</v>
      </c>
      <c r="G258">
        <v>4750</v>
      </c>
      <c r="H258">
        <v>2333</v>
      </c>
      <c r="I258">
        <v>130</v>
      </c>
      <c r="J258">
        <v>360</v>
      </c>
      <c r="K258">
        <v>1</v>
      </c>
      <c r="L258" t="s">
        <v>632</v>
      </c>
      <c r="M258" t="s">
        <v>633</v>
      </c>
    </row>
    <row r="259" spans="1:13" x14ac:dyDescent="0.3">
      <c r="A259" t="s">
        <v>1004</v>
      </c>
      <c r="B259" t="s">
        <v>629</v>
      </c>
      <c r="C259" t="s">
        <v>630</v>
      </c>
      <c r="D259">
        <v>0</v>
      </c>
      <c r="E259" t="s">
        <v>631</v>
      </c>
      <c r="F259" t="s">
        <v>635</v>
      </c>
      <c r="G259">
        <v>6822</v>
      </c>
      <c r="H259">
        <v>0</v>
      </c>
      <c r="I259">
        <v>141</v>
      </c>
      <c r="J259">
        <v>360</v>
      </c>
      <c r="K259">
        <v>1</v>
      </c>
      <c r="L259" t="s">
        <v>636</v>
      </c>
      <c r="M259" t="s">
        <v>633</v>
      </c>
    </row>
    <row r="260" spans="1:13" x14ac:dyDescent="0.3">
      <c r="A260" t="s">
        <v>1005</v>
      </c>
      <c r="B260" t="s">
        <v>629</v>
      </c>
      <c r="C260" t="s">
        <v>630</v>
      </c>
      <c r="D260">
        <v>0</v>
      </c>
      <c r="E260" t="s">
        <v>640</v>
      </c>
      <c r="F260" t="s">
        <v>630</v>
      </c>
      <c r="G260">
        <v>6216</v>
      </c>
      <c r="H260">
        <v>0</v>
      </c>
      <c r="I260">
        <v>133</v>
      </c>
      <c r="J260">
        <v>360</v>
      </c>
      <c r="K260">
        <v>1</v>
      </c>
      <c r="L260" t="s">
        <v>636</v>
      </c>
      <c r="M260" t="s">
        <v>637</v>
      </c>
    </row>
    <row r="261" spans="1:13" x14ac:dyDescent="0.3">
      <c r="A261" t="s">
        <v>1006</v>
      </c>
      <c r="B261" t="s">
        <v>629</v>
      </c>
      <c r="C261" t="s">
        <v>630</v>
      </c>
      <c r="D261">
        <v>0</v>
      </c>
      <c r="E261" t="s">
        <v>631</v>
      </c>
      <c r="F261" t="s">
        <v>630</v>
      </c>
      <c r="G261">
        <v>2500</v>
      </c>
      <c r="H261">
        <v>0</v>
      </c>
      <c r="I261">
        <v>96</v>
      </c>
      <c r="J261">
        <v>480</v>
      </c>
      <c r="K261">
        <v>1</v>
      </c>
      <c r="L261" t="s">
        <v>646</v>
      </c>
      <c r="M261" t="s">
        <v>637</v>
      </c>
    </row>
    <row r="262" spans="1:13" x14ac:dyDescent="0.3">
      <c r="A262" t="s">
        <v>1008</v>
      </c>
      <c r="B262" t="s">
        <v>629</v>
      </c>
      <c r="C262" t="s">
        <v>635</v>
      </c>
      <c r="D262">
        <v>1</v>
      </c>
      <c r="E262" t="s">
        <v>631</v>
      </c>
      <c r="F262" t="s">
        <v>630</v>
      </c>
      <c r="G262">
        <v>6325</v>
      </c>
      <c r="H262">
        <v>0</v>
      </c>
      <c r="I262">
        <v>175</v>
      </c>
      <c r="J262">
        <v>360</v>
      </c>
      <c r="K262">
        <v>1</v>
      </c>
      <c r="L262" t="s">
        <v>646</v>
      </c>
      <c r="M262" t="s">
        <v>633</v>
      </c>
    </row>
    <row r="263" spans="1:13" x14ac:dyDescent="0.3">
      <c r="A263" t="s">
        <v>1010</v>
      </c>
      <c r="B263" t="s">
        <v>657</v>
      </c>
      <c r="C263" t="s">
        <v>630</v>
      </c>
      <c r="D263">
        <v>0</v>
      </c>
      <c r="E263" t="s">
        <v>631</v>
      </c>
      <c r="F263" t="s">
        <v>635</v>
      </c>
      <c r="G263">
        <v>15759</v>
      </c>
      <c r="H263">
        <v>0</v>
      </c>
      <c r="I263">
        <v>55</v>
      </c>
      <c r="J263">
        <v>360</v>
      </c>
      <c r="K263">
        <v>1</v>
      </c>
      <c r="L263" t="s">
        <v>646</v>
      </c>
      <c r="M263" t="s">
        <v>633</v>
      </c>
    </row>
    <row r="264" spans="1:13" x14ac:dyDescent="0.3">
      <c r="A264" t="s">
        <v>1011</v>
      </c>
      <c r="B264" t="s">
        <v>629</v>
      </c>
      <c r="C264" t="s">
        <v>635</v>
      </c>
      <c r="D264">
        <v>2</v>
      </c>
      <c r="E264" t="s">
        <v>631</v>
      </c>
      <c r="F264" t="s">
        <v>630</v>
      </c>
      <c r="G264">
        <v>5185</v>
      </c>
      <c r="H264">
        <v>0</v>
      </c>
      <c r="I264">
        <v>155</v>
      </c>
      <c r="J264">
        <v>360</v>
      </c>
      <c r="K264">
        <v>1</v>
      </c>
      <c r="L264" t="s">
        <v>646</v>
      </c>
      <c r="M264" t="s">
        <v>633</v>
      </c>
    </row>
    <row r="265" spans="1:13" x14ac:dyDescent="0.3">
      <c r="A265" t="s">
        <v>1013</v>
      </c>
      <c r="B265" t="s">
        <v>629</v>
      </c>
      <c r="C265" t="s">
        <v>630</v>
      </c>
      <c r="D265">
        <v>1</v>
      </c>
      <c r="E265" t="s">
        <v>631</v>
      </c>
      <c r="F265" t="s">
        <v>630</v>
      </c>
      <c r="G265">
        <v>3062</v>
      </c>
      <c r="H265">
        <v>1987</v>
      </c>
      <c r="I265">
        <v>111</v>
      </c>
      <c r="J265">
        <v>180</v>
      </c>
      <c r="K265">
        <v>0</v>
      </c>
      <c r="L265" t="s">
        <v>632</v>
      </c>
      <c r="M265" t="s">
        <v>637</v>
      </c>
    </row>
    <row r="266" spans="1:13" x14ac:dyDescent="0.3">
      <c r="A266" t="s">
        <v>1015</v>
      </c>
      <c r="B266" t="s">
        <v>629</v>
      </c>
      <c r="C266" t="s">
        <v>635</v>
      </c>
      <c r="D266">
        <v>0</v>
      </c>
      <c r="E266" t="s">
        <v>631</v>
      </c>
      <c r="F266" t="s">
        <v>630</v>
      </c>
      <c r="G266">
        <v>4817</v>
      </c>
      <c r="H266">
        <v>923</v>
      </c>
      <c r="I266">
        <v>120</v>
      </c>
      <c r="J266">
        <v>180</v>
      </c>
      <c r="K266">
        <v>1</v>
      </c>
      <c r="L266" t="s">
        <v>632</v>
      </c>
      <c r="M266" t="s">
        <v>633</v>
      </c>
    </row>
    <row r="267" spans="1:13" x14ac:dyDescent="0.3">
      <c r="A267" t="s">
        <v>1016</v>
      </c>
      <c r="B267" t="s">
        <v>629</v>
      </c>
      <c r="C267" t="s">
        <v>635</v>
      </c>
      <c r="D267" t="s">
        <v>645</v>
      </c>
      <c r="E267" t="s">
        <v>631</v>
      </c>
      <c r="F267" t="s">
        <v>630</v>
      </c>
      <c r="G267">
        <v>8750</v>
      </c>
      <c r="H267">
        <v>4996</v>
      </c>
      <c r="I267">
        <v>130</v>
      </c>
      <c r="J267">
        <v>360</v>
      </c>
      <c r="K267">
        <v>1</v>
      </c>
      <c r="L267" t="s">
        <v>636</v>
      </c>
      <c r="M267" t="s">
        <v>633</v>
      </c>
    </row>
    <row r="268" spans="1:13" x14ac:dyDescent="0.3">
      <c r="A268" t="s">
        <v>1018</v>
      </c>
      <c r="B268" t="s">
        <v>629</v>
      </c>
      <c r="C268" t="s">
        <v>630</v>
      </c>
      <c r="D268">
        <v>0</v>
      </c>
      <c r="E268" t="s">
        <v>631</v>
      </c>
      <c r="F268" t="s">
        <v>630</v>
      </c>
      <c r="G268">
        <v>3069</v>
      </c>
      <c r="H268">
        <v>0</v>
      </c>
      <c r="I268">
        <v>71</v>
      </c>
      <c r="J268">
        <v>480</v>
      </c>
      <c r="K268">
        <v>1</v>
      </c>
      <c r="L268" t="s">
        <v>632</v>
      </c>
      <c r="M268" t="s">
        <v>637</v>
      </c>
    </row>
    <row r="269" spans="1:13" x14ac:dyDescent="0.3">
      <c r="A269" t="s">
        <v>1019</v>
      </c>
      <c r="B269" t="s">
        <v>629</v>
      </c>
      <c r="C269" t="s">
        <v>635</v>
      </c>
      <c r="D269">
        <v>2</v>
      </c>
      <c r="E269" t="s">
        <v>631</v>
      </c>
      <c r="F269" t="s">
        <v>630</v>
      </c>
      <c r="G269">
        <v>5391</v>
      </c>
      <c r="H269">
        <v>0</v>
      </c>
      <c r="I269">
        <v>130</v>
      </c>
      <c r="J269">
        <v>360</v>
      </c>
      <c r="K269">
        <v>1</v>
      </c>
      <c r="L269" t="s">
        <v>632</v>
      </c>
      <c r="M269" t="s">
        <v>633</v>
      </c>
    </row>
    <row r="270" spans="1:13" x14ac:dyDescent="0.3">
      <c r="A270" t="s">
        <v>1022</v>
      </c>
      <c r="B270" t="s">
        <v>657</v>
      </c>
      <c r="C270" t="s">
        <v>630</v>
      </c>
      <c r="D270">
        <v>0</v>
      </c>
      <c r="E270" t="s">
        <v>631</v>
      </c>
      <c r="F270" t="s">
        <v>630</v>
      </c>
      <c r="G270">
        <v>6000</v>
      </c>
      <c r="H270">
        <v>0</v>
      </c>
      <c r="I270">
        <v>156</v>
      </c>
      <c r="J270">
        <v>360</v>
      </c>
      <c r="K270">
        <v>1</v>
      </c>
      <c r="L270" t="s">
        <v>632</v>
      </c>
      <c r="M270" t="s">
        <v>633</v>
      </c>
    </row>
    <row r="271" spans="1:13" x14ac:dyDescent="0.3">
      <c r="A271" t="s">
        <v>1023</v>
      </c>
      <c r="B271" t="s">
        <v>629</v>
      </c>
      <c r="C271" t="s">
        <v>630</v>
      </c>
      <c r="D271">
        <v>0</v>
      </c>
      <c r="E271" t="s">
        <v>631</v>
      </c>
      <c r="F271" t="s">
        <v>635</v>
      </c>
      <c r="G271">
        <v>7167</v>
      </c>
      <c r="H271">
        <v>0</v>
      </c>
      <c r="I271">
        <v>128</v>
      </c>
      <c r="J271">
        <v>360</v>
      </c>
      <c r="K271">
        <v>1</v>
      </c>
      <c r="L271" t="s">
        <v>632</v>
      </c>
      <c r="M271" t="s">
        <v>633</v>
      </c>
    </row>
    <row r="272" spans="1:13" x14ac:dyDescent="0.3">
      <c r="A272" t="s">
        <v>1024</v>
      </c>
      <c r="B272" t="s">
        <v>629</v>
      </c>
      <c r="C272" t="s">
        <v>635</v>
      </c>
      <c r="D272">
        <v>2</v>
      </c>
      <c r="E272" t="s">
        <v>631</v>
      </c>
      <c r="F272" t="s">
        <v>630</v>
      </c>
      <c r="G272">
        <v>4566</v>
      </c>
      <c r="H272">
        <v>0</v>
      </c>
      <c r="I272">
        <v>100</v>
      </c>
      <c r="J272">
        <v>360</v>
      </c>
      <c r="K272">
        <v>1</v>
      </c>
      <c r="L272" t="s">
        <v>632</v>
      </c>
      <c r="M272" t="s">
        <v>637</v>
      </c>
    </row>
    <row r="273" spans="1:13" x14ac:dyDescent="0.3">
      <c r="A273" t="s">
        <v>1026</v>
      </c>
      <c r="B273" t="s">
        <v>629</v>
      </c>
      <c r="C273" t="s">
        <v>630</v>
      </c>
      <c r="D273">
        <v>0</v>
      </c>
      <c r="E273" t="s">
        <v>640</v>
      </c>
      <c r="F273" t="s">
        <v>630</v>
      </c>
      <c r="G273">
        <v>2346</v>
      </c>
      <c r="H273">
        <v>1600</v>
      </c>
      <c r="I273">
        <v>132</v>
      </c>
      <c r="J273">
        <v>360</v>
      </c>
      <c r="K273">
        <v>1</v>
      </c>
      <c r="L273" t="s">
        <v>646</v>
      </c>
      <c r="M273" t="s">
        <v>633</v>
      </c>
    </row>
    <row r="274" spans="1:13" x14ac:dyDescent="0.3">
      <c r="A274" t="s">
        <v>1028</v>
      </c>
      <c r="B274" t="s">
        <v>629</v>
      </c>
      <c r="C274" t="s">
        <v>635</v>
      </c>
      <c r="D274">
        <v>0</v>
      </c>
      <c r="E274" t="s">
        <v>631</v>
      </c>
      <c r="F274" t="s">
        <v>630</v>
      </c>
      <c r="G274">
        <v>2333</v>
      </c>
      <c r="H274">
        <v>2417</v>
      </c>
      <c r="I274">
        <v>136</v>
      </c>
      <c r="J274">
        <v>360</v>
      </c>
      <c r="K274">
        <v>1</v>
      </c>
      <c r="L274" t="s">
        <v>632</v>
      </c>
      <c r="M274" t="s">
        <v>633</v>
      </c>
    </row>
    <row r="275" spans="1:13" x14ac:dyDescent="0.3">
      <c r="A275" t="s">
        <v>1029</v>
      </c>
      <c r="B275" t="s">
        <v>629</v>
      </c>
      <c r="C275" t="s">
        <v>635</v>
      </c>
      <c r="D275">
        <v>0</v>
      </c>
      <c r="E275" t="s">
        <v>631</v>
      </c>
      <c r="F275" t="s">
        <v>630</v>
      </c>
      <c r="G275">
        <v>5488</v>
      </c>
      <c r="H275">
        <v>0</v>
      </c>
      <c r="I275">
        <v>125</v>
      </c>
      <c r="J275">
        <v>360</v>
      </c>
      <c r="K275">
        <v>1</v>
      </c>
      <c r="L275" t="s">
        <v>636</v>
      </c>
      <c r="M275" t="s">
        <v>633</v>
      </c>
    </row>
    <row r="276" spans="1:13" x14ac:dyDescent="0.3">
      <c r="A276" t="s">
        <v>1030</v>
      </c>
      <c r="B276" t="s">
        <v>629</v>
      </c>
      <c r="C276" t="s">
        <v>630</v>
      </c>
      <c r="D276" t="s">
        <v>645</v>
      </c>
      <c r="E276" t="s">
        <v>631</v>
      </c>
      <c r="F276" t="s">
        <v>630</v>
      </c>
      <c r="G276">
        <v>9167</v>
      </c>
      <c r="H276">
        <v>0</v>
      </c>
      <c r="I276">
        <v>185</v>
      </c>
      <c r="J276">
        <v>360</v>
      </c>
      <c r="K276">
        <v>1</v>
      </c>
      <c r="L276" t="s">
        <v>636</v>
      </c>
      <c r="M276" t="s">
        <v>633</v>
      </c>
    </row>
    <row r="277" spans="1:13" x14ac:dyDescent="0.3">
      <c r="A277" t="s">
        <v>1031</v>
      </c>
      <c r="B277" t="s">
        <v>629</v>
      </c>
      <c r="C277" t="s">
        <v>635</v>
      </c>
      <c r="D277" t="s">
        <v>645</v>
      </c>
      <c r="E277" t="s">
        <v>631</v>
      </c>
      <c r="F277" t="s">
        <v>630</v>
      </c>
      <c r="G277">
        <v>9504</v>
      </c>
      <c r="H277">
        <v>0</v>
      </c>
      <c r="I277">
        <v>275</v>
      </c>
      <c r="J277">
        <v>360</v>
      </c>
      <c r="K277">
        <v>1</v>
      </c>
      <c r="L277" t="s">
        <v>636</v>
      </c>
      <c r="M277" t="s">
        <v>633</v>
      </c>
    </row>
    <row r="278" spans="1:13" x14ac:dyDescent="0.3">
      <c r="A278" t="s">
        <v>1033</v>
      </c>
      <c r="B278" t="s">
        <v>629</v>
      </c>
      <c r="C278" t="s">
        <v>635</v>
      </c>
      <c r="D278">
        <v>2</v>
      </c>
      <c r="E278" t="s">
        <v>640</v>
      </c>
      <c r="F278" t="s">
        <v>630</v>
      </c>
      <c r="G278">
        <v>1993</v>
      </c>
      <c r="H278">
        <v>1625</v>
      </c>
      <c r="I278">
        <v>113</v>
      </c>
      <c r="J278">
        <v>180</v>
      </c>
      <c r="K278">
        <v>1</v>
      </c>
      <c r="L278" t="s">
        <v>646</v>
      </c>
      <c r="M278" t="s">
        <v>633</v>
      </c>
    </row>
    <row r="279" spans="1:13" x14ac:dyDescent="0.3">
      <c r="A279" t="s">
        <v>1034</v>
      </c>
      <c r="B279" t="s">
        <v>629</v>
      </c>
      <c r="C279" t="s">
        <v>635</v>
      </c>
      <c r="D279">
        <v>2</v>
      </c>
      <c r="E279" t="s">
        <v>631</v>
      </c>
      <c r="F279" t="s">
        <v>630</v>
      </c>
      <c r="G279">
        <v>3100</v>
      </c>
      <c r="H279">
        <v>1400</v>
      </c>
      <c r="I279">
        <v>113</v>
      </c>
      <c r="J279">
        <v>360</v>
      </c>
      <c r="K279">
        <v>1</v>
      </c>
      <c r="L279" t="s">
        <v>632</v>
      </c>
      <c r="M279" t="s">
        <v>633</v>
      </c>
    </row>
    <row r="280" spans="1:13" x14ac:dyDescent="0.3">
      <c r="A280" t="s">
        <v>1036</v>
      </c>
      <c r="B280" t="s">
        <v>657</v>
      </c>
      <c r="C280" t="s">
        <v>630</v>
      </c>
      <c r="D280">
        <v>0</v>
      </c>
      <c r="E280" t="s">
        <v>631</v>
      </c>
      <c r="F280" t="s">
        <v>630</v>
      </c>
      <c r="G280">
        <v>3180</v>
      </c>
      <c r="H280">
        <v>0</v>
      </c>
      <c r="I280">
        <v>71</v>
      </c>
      <c r="J280">
        <v>360</v>
      </c>
      <c r="K280">
        <v>0</v>
      </c>
      <c r="L280" t="s">
        <v>632</v>
      </c>
      <c r="M280" t="s">
        <v>637</v>
      </c>
    </row>
    <row r="281" spans="1:13" x14ac:dyDescent="0.3">
      <c r="A281" t="s">
        <v>1037</v>
      </c>
      <c r="B281" t="s">
        <v>629</v>
      </c>
      <c r="C281" t="s">
        <v>635</v>
      </c>
      <c r="D281">
        <v>0</v>
      </c>
      <c r="E281" t="s">
        <v>631</v>
      </c>
      <c r="F281" t="s">
        <v>630</v>
      </c>
      <c r="G281">
        <v>3033</v>
      </c>
      <c r="H281">
        <v>1459</v>
      </c>
      <c r="I281">
        <v>95</v>
      </c>
      <c r="J281">
        <v>360</v>
      </c>
      <c r="K281">
        <v>1</v>
      </c>
      <c r="L281" t="s">
        <v>632</v>
      </c>
      <c r="M281" t="s">
        <v>633</v>
      </c>
    </row>
    <row r="282" spans="1:13" x14ac:dyDescent="0.3">
      <c r="A282" t="s">
        <v>1038</v>
      </c>
      <c r="B282" t="s">
        <v>629</v>
      </c>
      <c r="C282" t="s">
        <v>630</v>
      </c>
      <c r="D282">
        <v>0</v>
      </c>
      <c r="E282" t="s">
        <v>640</v>
      </c>
      <c r="F282" t="s">
        <v>630</v>
      </c>
      <c r="G282">
        <v>3902</v>
      </c>
      <c r="H282">
        <v>1666</v>
      </c>
      <c r="I282">
        <v>109</v>
      </c>
      <c r="J282">
        <v>360</v>
      </c>
      <c r="K282">
        <v>1</v>
      </c>
      <c r="L282" t="s">
        <v>636</v>
      </c>
      <c r="M282" t="s">
        <v>633</v>
      </c>
    </row>
    <row r="283" spans="1:13" x14ac:dyDescent="0.3">
      <c r="A283" t="s">
        <v>1039</v>
      </c>
      <c r="B283" t="s">
        <v>657</v>
      </c>
      <c r="C283" t="s">
        <v>630</v>
      </c>
      <c r="D283">
        <v>0</v>
      </c>
      <c r="E283" t="s">
        <v>631</v>
      </c>
      <c r="F283" t="s">
        <v>630</v>
      </c>
      <c r="G283">
        <v>1500</v>
      </c>
      <c r="H283">
        <v>1800</v>
      </c>
      <c r="I283">
        <v>103</v>
      </c>
      <c r="J283">
        <v>360</v>
      </c>
      <c r="K283">
        <v>0</v>
      </c>
      <c r="L283" t="s">
        <v>646</v>
      </c>
      <c r="M283" t="s">
        <v>637</v>
      </c>
    </row>
    <row r="284" spans="1:13" x14ac:dyDescent="0.3">
      <c r="A284" t="s">
        <v>1040</v>
      </c>
      <c r="B284" t="s">
        <v>629</v>
      </c>
      <c r="C284" t="s">
        <v>635</v>
      </c>
      <c r="D284">
        <v>2</v>
      </c>
      <c r="E284" t="s">
        <v>640</v>
      </c>
      <c r="F284" t="s">
        <v>630</v>
      </c>
      <c r="G284">
        <v>2889</v>
      </c>
      <c r="H284">
        <v>0</v>
      </c>
      <c r="I284">
        <v>45</v>
      </c>
      <c r="J284">
        <v>180</v>
      </c>
      <c r="K284">
        <v>0</v>
      </c>
      <c r="L284" t="s">
        <v>632</v>
      </c>
      <c r="M284" t="s">
        <v>637</v>
      </c>
    </row>
    <row r="285" spans="1:13" x14ac:dyDescent="0.3">
      <c r="A285" t="s">
        <v>1041</v>
      </c>
      <c r="B285" t="s">
        <v>629</v>
      </c>
      <c r="C285" t="s">
        <v>630</v>
      </c>
      <c r="D285">
        <v>0</v>
      </c>
      <c r="E285" t="s">
        <v>640</v>
      </c>
      <c r="F285" t="s">
        <v>630</v>
      </c>
      <c r="G285">
        <v>2755</v>
      </c>
      <c r="H285">
        <v>0</v>
      </c>
      <c r="I285">
        <v>65</v>
      </c>
      <c r="J285">
        <v>300</v>
      </c>
      <c r="K285">
        <v>1</v>
      </c>
      <c r="L285" t="s">
        <v>636</v>
      </c>
      <c r="M285" t="s">
        <v>637</v>
      </c>
    </row>
    <row r="286" spans="1:13" x14ac:dyDescent="0.3">
      <c r="A286" t="s">
        <v>1042</v>
      </c>
      <c r="B286" t="s">
        <v>629</v>
      </c>
      <c r="C286" t="s">
        <v>630</v>
      </c>
      <c r="D286">
        <v>0</v>
      </c>
      <c r="E286" t="s">
        <v>631</v>
      </c>
      <c r="F286" t="s">
        <v>630</v>
      </c>
      <c r="G286">
        <v>2500</v>
      </c>
      <c r="H286">
        <v>20000</v>
      </c>
      <c r="I286">
        <v>103</v>
      </c>
      <c r="J286">
        <v>360</v>
      </c>
      <c r="K286">
        <v>1</v>
      </c>
      <c r="L286" t="s">
        <v>646</v>
      </c>
      <c r="M286" t="s">
        <v>633</v>
      </c>
    </row>
    <row r="287" spans="1:13" x14ac:dyDescent="0.3">
      <c r="A287" t="s">
        <v>1043</v>
      </c>
      <c r="B287" t="s">
        <v>657</v>
      </c>
      <c r="C287" t="s">
        <v>630</v>
      </c>
      <c r="D287">
        <v>0</v>
      </c>
      <c r="E287" t="s">
        <v>640</v>
      </c>
      <c r="F287" t="s">
        <v>630</v>
      </c>
      <c r="G287">
        <v>1963</v>
      </c>
      <c r="H287">
        <v>0</v>
      </c>
      <c r="I287">
        <v>53</v>
      </c>
      <c r="J287">
        <v>360</v>
      </c>
      <c r="K287">
        <v>1</v>
      </c>
      <c r="L287" t="s">
        <v>646</v>
      </c>
      <c r="M287" t="s">
        <v>633</v>
      </c>
    </row>
    <row r="288" spans="1:13" x14ac:dyDescent="0.3">
      <c r="A288" t="s">
        <v>1044</v>
      </c>
      <c r="B288" t="s">
        <v>657</v>
      </c>
      <c r="C288" t="s">
        <v>630</v>
      </c>
      <c r="D288">
        <v>0</v>
      </c>
      <c r="E288" t="s">
        <v>631</v>
      </c>
      <c r="F288" t="s">
        <v>635</v>
      </c>
      <c r="G288">
        <v>7441</v>
      </c>
      <c r="H288">
        <v>0</v>
      </c>
      <c r="I288">
        <v>194</v>
      </c>
      <c r="J288">
        <v>360</v>
      </c>
      <c r="K288">
        <v>1</v>
      </c>
      <c r="L288" t="s">
        <v>636</v>
      </c>
      <c r="M288" t="s">
        <v>637</v>
      </c>
    </row>
    <row r="289" spans="1:13" x14ac:dyDescent="0.3">
      <c r="A289" t="s">
        <v>1045</v>
      </c>
      <c r="B289" t="s">
        <v>657</v>
      </c>
      <c r="C289" t="s">
        <v>630</v>
      </c>
      <c r="D289">
        <v>0</v>
      </c>
      <c r="E289" t="s">
        <v>631</v>
      </c>
      <c r="F289" t="s">
        <v>630</v>
      </c>
      <c r="G289">
        <v>4547</v>
      </c>
      <c r="H289">
        <v>0</v>
      </c>
      <c r="I289">
        <v>115</v>
      </c>
      <c r="J289">
        <v>360</v>
      </c>
      <c r="K289">
        <v>1</v>
      </c>
      <c r="L289" t="s">
        <v>646</v>
      </c>
      <c r="M289" t="s">
        <v>633</v>
      </c>
    </row>
    <row r="290" spans="1:13" x14ac:dyDescent="0.3">
      <c r="A290" t="s">
        <v>1046</v>
      </c>
      <c r="B290" t="s">
        <v>629</v>
      </c>
      <c r="C290" t="s">
        <v>635</v>
      </c>
      <c r="D290">
        <v>0</v>
      </c>
      <c r="E290" t="s">
        <v>640</v>
      </c>
      <c r="F290" t="s">
        <v>630</v>
      </c>
      <c r="G290">
        <v>2167</v>
      </c>
      <c r="H290">
        <v>2400</v>
      </c>
      <c r="I290">
        <v>115</v>
      </c>
      <c r="J290">
        <v>360</v>
      </c>
      <c r="K290">
        <v>1</v>
      </c>
      <c r="L290" t="s">
        <v>632</v>
      </c>
      <c r="M290" t="s">
        <v>633</v>
      </c>
    </row>
    <row r="291" spans="1:13" x14ac:dyDescent="0.3">
      <c r="A291" t="s">
        <v>1047</v>
      </c>
      <c r="B291" t="s">
        <v>657</v>
      </c>
      <c r="C291" t="s">
        <v>630</v>
      </c>
      <c r="D291">
        <v>0</v>
      </c>
      <c r="E291" t="s">
        <v>640</v>
      </c>
      <c r="F291" t="s">
        <v>630</v>
      </c>
      <c r="G291">
        <v>2213</v>
      </c>
      <c r="H291">
        <v>0</v>
      </c>
      <c r="I291">
        <v>66</v>
      </c>
      <c r="J291">
        <v>360</v>
      </c>
      <c r="K291">
        <v>1</v>
      </c>
      <c r="L291" t="s">
        <v>636</v>
      </c>
      <c r="M291" t="s">
        <v>633</v>
      </c>
    </row>
    <row r="292" spans="1:13" x14ac:dyDescent="0.3">
      <c r="A292" t="s">
        <v>1048</v>
      </c>
      <c r="B292" t="s">
        <v>629</v>
      </c>
      <c r="C292" t="s">
        <v>635</v>
      </c>
      <c r="D292">
        <v>1</v>
      </c>
      <c r="E292" t="s">
        <v>631</v>
      </c>
      <c r="F292" t="s">
        <v>630</v>
      </c>
      <c r="G292">
        <v>8300</v>
      </c>
      <c r="H292">
        <v>0</v>
      </c>
      <c r="I292">
        <v>152</v>
      </c>
      <c r="J292">
        <v>300</v>
      </c>
      <c r="K292">
        <v>0</v>
      </c>
      <c r="L292" t="s">
        <v>646</v>
      </c>
      <c r="M292" t="s">
        <v>637</v>
      </c>
    </row>
    <row r="293" spans="1:13" x14ac:dyDescent="0.3">
      <c r="A293" t="s">
        <v>1050</v>
      </c>
      <c r="B293" t="s">
        <v>657</v>
      </c>
      <c r="C293" t="s">
        <v>630</v>
      </c>
      <c r="D293">
        <v>1</v>
      </c>
      <c r="E293" t="s">
        <v>640</v>
      </c>
      <c r="F293" t="s">
        <v>635</v>
      </c>
      <c r="G293">
        <v>3867</v>
      </c>
      <c r="H293">
        <v>0</v>
      </c>
      <c r="I293">
        <v>62</v>
      </c>
      <c r="J293">
        <v>360</v>
      </c>
      <c r="K293">
        <v>1</v>
      </c>
      <c r="L293" t="s">
        <v>646</v>
      </c>
      <c r="M293" t="s">
        <v>637</v>
      </c>
    </row>
    <row r="294" spans="1:13" x14ac:dyDescent="0.3">
      <c r="A294" t="s">
        <v>1052</v>
      </c>
      <c r="B294" t="s">
        <v>629</v>
      </c>
      <c r="C294" t="s">
        <v>635</v>
      </c>
      <c r="D294">
        <v>0</v>
      </c>
      <c r="E294" t="s">
        <v>640</v>
      </c>
      <c r="F294" t="s">
        <v>630</v>
      </c>
      <c r="G294">
        <v>6096</v>
      </c>
      <c r="H294">
        <v>0</v>
      </c>
      <c r="I294">
        <v>218</v>
      </c>
      <c r="J294">
        <v>360</v>
      </c>
      <c r="K294">
        <v>0</v>
      </c>
      <c r="L294" t="s">
        <v>636</v>
      </c>
      <c r="M294" t="s">
        <v>637</v>
      </c>
    </row>
    <row r="295" spans="1:13" x14ac:dyDescent="0.3">
      <c r="A295" t="s">
        <v>1053</v>
      </c>
      <c r="B295" t="s">
        <v>629</v>
      </c>
      <c r="C295" t="s">
        <v>635</v>
      </c>
      <c r="D295">
        <v>0</v>
      </c>
      <c r="E295" t="s">
        <v>640</v>
      </c>
      <c r="F295" t="s">
        <v>630</v>
      </c>
      <c r="G295">
        <v>2253</v>
      </c>
      <c r="H295">
        <v>2033</v>
      </c>
      <c r="I295">
        <v>110</v>
      </c>
      <c r="J295">
        <v>360</v>
      </c>
      <c r="K295">
        <v>1</v>
      </c>
      <c r="L295" t="s">
        <v>636</v>
      </c>
      <c r="M295" t="s">
        <v>633</v>
      </c>
    </row>
    <row r="296" spans="1:13" x14ac:dyDescent="0.3">
      <c r="A296" t="s">
        <v>1054</v>
      </c>
      <c r="B296" t="s">
        <v>657</v>
      </c>
      <c r="C296" t="s">
        <v>635</v>
      </c>
      <c r="D296">
        <v>0</v>
      </c>
      <c r="E296" t="s">
        <v>640</v>
      </c>
      <c r="F296" t="s">
        <v>630</v>
      </c>
      <c r="G296">
        <v>2149</v>
      </c>
      <c r="H296">
        <v>3237</v>
      </c>
      <c r="I296">
        <v>178</v>
      </c>
      <c r="J296">
        <v>360</v>
      </c>
      <c r="K296">
        <v>0</v>
      </c>
      <c r="L296" t="s">
        <v>646</v>
      </c>
      <c r="M296" t="s">
        <v>637</v>
      </c>
    </row>
    <row r="297" spans="1:13" x14ac:dyDescent="0.3">
      <c r="A297" t="s">
        <v>1055</v>
      </c>
      <c r="B297" t="s">
        <v>657</v>
      </c>
      <c r="C297" t="s">
        <v>630</v>
      </c>
      <c r="D297">
        <v>0</v>
      </c>
      <c r="E297" t="s">
        <v>631</v>
      </c>
      <c r="F297" t="s">
        <v>630</v>
      </c>
      <c r="G297">
        <v>2995</v>
      </c>
      <c r="H297">
        <v>0</v>
      </c>
      <c r="I297">
        <v>60</v>
      </c>
      <c r="J297">
        <v>360</v>
      </c>
      <c r="K297">
        <v>1</v>
      </c>
      <c r="L297" t="s">
        <v>632</v>
      </c>
      <c r="M297" t="s">
        <v>633</v>
      </c>
    </row>
    <row r="298" spans="1:13" x14ac:dyDescent="0.3">
      <c r="A298" t="s">
        <v>1056</v>
      </c>
      <c r="B298" t="s">
        <v>657</v>
      </c>
      <c r="C298" t="s">
        <v>630</v>
      </c>
      <c r="D298">
        <v>1</v>
      </c>
      <c r="E298" t="s">
        <v>631</v>
      </c>
      <c r="F298" t="s">
        <v>630</v>
      </c>
      <c r="G298">
        <v>2600</v>
      </c>
      <c r="H298">
        <v>0</v>
      </c>
      <c r="I298">
        <v>160</v>
      </c>
      <c r="J298">
        <v>360</v>
      </c>
      <c r="K298">
        <v>1</v>
      </c>
      <c r="L298" t="s">
        <v>632</v>
      </c>
      <c r="M298" t="s">
        <v>637</v>
      </c>
    </row>
    <row r="299" spans="1:13" x14ac:dyDescent="0.3">
      <c r="A299" t="s">
        <v>1057</v>
      </c>
      <c r="B299" t="s">
        <v>629</v>
      </c>
      <c r="C299" t="s">
        <v>635</v>
      </c>
      <c r="D299">
        <v>2</v>
      </c>
      <c r="E299" t="s">
        <v>631</v>
      </c>
      <c r="F299" t="s">
        <v>635</v>
      </c>
      <c r="G299">
        <v>1600</v>
      </c>
      <c r="H299">
        <v>20000</v>
      </c>
      <c r="I299">
        <v>239</v>
      </c>
      <c r="J299">
        <v>360</v>
      </c>
      <c r="K299">
        <v>1</v>
      </c>
      <c r="L299" t="s">
        <v>632</v>
      </c>
      <c r="M299" t="s">
        <v>637</v>
      </c>
    </row>
    <row r="300" spans="1:13" x14ac:dyDescent="0.3">
      <c r="A300" t="s">
        <v>1058</v>
      </c>
      <c r="B300" t="s">
        <v>629</v>
      </c>
      <c r="C300" t="s">
        <v>635</v>
      </c>
      <c r="D300">
        <v>0</v>
      </c>
      <c r="E300" t="s">
        <v>631</v>
      </c>
      <c r="F300" t="s">
        <v>630</v>
      </c>
      <c r="G300">
        <v>1025</v>
      </c>
      <c r="H300">
        <v>2773</v>
      </c>
      <c r="I300">
        <v>112</v>
      </c>
      <c r="J300">
        <v>360</v>
      </c>
      <c r="K300">
        <v>1</v>
      </c>
      <c r="L300" t="s">
        <v>636</v>
      </c>
      <c r="M300" t="s">
        <v>633</v>
      </c>
    </row>
    <row r="301" spans="1:13" x14ac:dyDescent="0.3">
      <c r="A301" t="s">
        <v>1059</v>
      </c>
      <c r="B301" t="s">
        <v>629</v>
      </c>
      <c r="C301" t="s">
        <v>635</v>
      </c>
      <c r="D301">
        <v>0</v>
      </c>
      <c r="E301" t="s">
        <v>631</v>
      </c>
      <c r="F301" t="s">
        <v>630</v>
      </c>
      <c r="G301">
        <v>3246</v>
      </c>
      <c r="H301">
        <v>1417</v>
      </c>
      <c r="I301">
        <v>138</v>
      </c>
      <c r="J301">
        <v>360</v>
      </c>
      <c r="K301">
        <v>1</v>
      </c>
      <c r="L301" t="s">
        <v>646</v>
      </c>
      <c r="M301" t="s">
        <v>633</v>
      </c>
    </row>
    <row r="302" spans="1:13" x14ac:dyDescent="0.3">
      <c r="A302" t="s">
        <v>1060</v>
      </c>
      <c r="B302" t="s">
        <v>629</v>
      </c>
      <c r="C302" t="s">
        <v>635</v>
      </c>
      <c r="D302">
        <v>0</v>
      </c>
      <c r="E302" t="s">
        <v>631</v>
      </c>
      <c r="F302" t="s">
        <v>630</v>
      </c>
      <c r="G302">
        <v>5829</v>
      </c>
      <c r="H302">
        <v>0</v>
      </c>
      <c r="I302">
        <v>138</v>
      </c>
      <c r="J302">
        <v>360</v>
      </c>
      <c r="K302">
        <v>1</v>
      </c>
      <c r="L302" t="s">
        <v>636</v>
      </c>
      <c r="M302" t="s">
        <v>633</v>
      </c>
    </row>
    <row r="303" spans="1:13" x14ac:dyDescent="0.3">
      <c r="A303" t="s">
        <v>1062</v>
      </c>
      <c r="B303" t="s">
        <v>629</v>
      </c>
      <c r="C303" t="s">
        <v>635</v>
      </c>
      <c r="D303">
        <v>0</v>
      </c>
      <c r="E303" t="s">
        <v>631</v>
      </c>
      <c r="F303" t="s">
        <v>630</v>
      </c>
      <c r="G303">
        <v>1820</v>
      </c>
      <c r="H303">
        <v>1719</v>
      </c>
      <c r="I303">
        <v>100</v>
      </c>
      <c r="J303">
        <v>360</v>
      </c>
      <c r="K303">
        <v>1</v>
      </c>
      <c r="L303" t="s">
        <v>632</v>
      </c>
      <c r="M303" t="s">
        <v>633</v>
      </c>
    </row>
    <row r="304" spans="1:13" x14ac:dyDescent="0.3">
      <c r="A304" t="s">
        <v>1064</v>
      </c>
      <c r="B304" t="s">
        <v>629</v>
      </c>
      <c r="C304" t="s">
        <v>635</v>
      </c>
      <c r="D304">
        <v>0</v>
      </c>
      <c r="E304" t="s">
        <v>631</v>
      </c>
      <c r="F304" t="s">
        <v>630</v>
      </c>
      <c r="G304">
        <v>14880</v>
      </c>
      <c r="H304">
        <v>0</v>
      </c>
      <c r="I304">
        <v>96</v>
      </c>
      <c r="J304">
        <v>360</v>
      </c>
      <c r="K304">
        <v>1</v>
      </c>
      <c r="L304" t="s">
        <v>646</v>
      </c>
      <c r="M304" t="s">
        <v>633</v>
      </c>
    </row>
    <row r="305" spans="1:13" x14ac:dyDescent="0.3">
      <c r="A305" t="s">
        <v>1065</v>
      </c>
      <c r="B305" t="s">
        <v>629</v>
      </c>
      <c r="C305" t="s">
        <v>635</v>
      </c>
      <c r="D305">
        <v>0</v>
      </c>
      <c r="E305" t="s">
        <v>631</v>
      </c>
      <c r="F305" t="s">
        <v>630</v>
      </c>
      <c r="G305">
        <v>2666</v>
      </c>
      <c r="H305">
        <v>4300</v>
      </c>
      <c r="I305">
        <v>121</v>
      </c>
      <c r="J305">
        <v>360</v>
      </c>
      <c r="K305">
        <v>1</v>
      </c>
      <c r="L305" t="s">
        <v>636</v>
      </c>
      <c r="M305" t="s">
        <v>633</v>
      </c>
    </row>
    <row r="306" spans="1:13" x14ac:dyDescent="0.3">
      <c r="A306" t="s">
        <v>1066</v>
      </c>
      <c r="B306" t="s">
        <v>657</v>
      </c>
      <c r="C306" t="s">
        <v>630</v>
      </c>
      <c r="D306">
        <v>1</v>
      </c>
      <c r="E306" t="s">
        <v>640</v>
      </c>
      <c r="F306" t="s">
        <v>630</v>
      </c>
      <c r="G306">
        <v>4606</v>
      </c>
      <c r="H306">
        <v>0</v>
      </c>
      <c r="I306">
        <v>81</v>
      </c>
      <c r="J306">
        <v>360</v>
      </c>
      <c r="K306">
        <v>1</v>
      </c>
      <c r="L306" t="s">
        <v>636</v>
      </c>
      <c r="M306" t="s">
        <v>637</v>
      </c>
    </row>
    <row r="307" spans="1:13" x14ac:dyDescent="0.3">
      <c r="A307" t="s">
        <v>1067</v>
      </c>
      <c r="B307" t="s">
        <v>629</v>
      </c>
      <c r="C307" t="s">
        <v>635</v>
      </c>
      <c r="D307">
        <v>2</v>
      </c>
      <c r="E307" t="s">
        <v>631</v>
      </c>
      <c r="F307" t="s">
        <v>630</v>
      </c>
      <c r="G307">
        <v>5935</v>
      </c>
      <c r="H307">
        <v>0</v>
      </c>
      <c r="I307">
        <v>133</v>
      </c>
      <c r="J307">
        <v>360</v>
      </c>
      <c r="K307">
        <v>1</v>
      </c>
      <c r="L307" t="s">
        <v>646</v>
      </c>
      <c r="M307" t="s">
        <v>633</v>
      </c>
    </row>
    <row r="308" spans="1:13" x14ac:dyDescent="0.3">
      <c r="A308" t="s">
        <v>1068</v>
      </c>
      <c r="B308" t="s">
        <v>629</v>
      </c>
      <c r="C308" t="s">
        <v>635</v>
      </c>
      <c r="D308">
        <v>0</v>
      </c>
      <c r="E308" t="s">
        <v>631</v>
      </c>
      <c r="F308" t="s">
        <v>630</v>
      </c>
      <c r="G308">
        <v>2920</v>
      </c>
      <c r="H308" s="1">
        <v>1612000084</v>
      </c>
      <c r="I308">
        <v>87</v>
      </c>
      <c r="J308">
        <v>360</v>
      </c>
      <c r="K308">
        <v>1</v>
      </c>
      <c r="L308" t="s">
        <v>636</v>
      </c>
      <c r="M308" t="s">
        <v>633</v>
      </c>
    </row>
    <row r="309" spans="1:13" x14ac:dyDescent="0.3">
      <c r="A309" t="s">
        <v>1069</v>
      </c>
      <c r="B309" t="s">
        <v>629</v>
      </c>
      <c r="C309" t="s">
        <v>630</v>
      </c>
      <c r="D309">
        <v>0</v>
      </c>
      <c r="E309" t="s">
        <v>640</v>
      </c>
      <c r="F309" t="s">
        <v>630</v>
      </c>
      <c r="G309">
        <v>2717</v>
      </c>
      <c r="H309">
        <v>0</v>
      </c>
      <c r="I309">
        <v>60</v>
      </c>
      <c r="J309">
        <v>180</v>
      </c>
      <c r="K309">
        <v>1</v>
      </c>
      <c r="L309" t="s">
        <v>632</v>
      </c>
      <c r="M309" t="s">
        <v>633</v>
      </c>
    </row>
    <row r="310" spans="1:13" x14ac:dyDescent="0.3">
      <c r="A310" t="s">
        <v>1070</v>
      </c>
      <c r="B310" t="s">
        <v>657</v>
      </c>
      <c r="C310" t="s">
        <v>630</v>
      </c>
      <c r="D310">
        <v>1</v>
      </c>
      <c r="E310" t="s">
        <v>631</v>
      </c>
      <c r="F310" t="s">
        <v>635</v>
      </c>
      <c r="G310">
        <v>8624</v>
      </c>
      <c r="H310">
        <v>0</v>
      </c>
      <c r="I310">
        <v>150</v>
      </c>
      <c r="J310">
        <v>360</v>
      </c>
      <c r="K310">
        <v>1</v>
      </c>
      <c r="L310" t="s">
        <v>646</v>
      </c>
      <c r="M310" t="s">
        <v>633</v>
      </c>
    </row>
    <row r="311" spans="1:13" x14ac:dyDescent="0.3">
      <c r="A311" t="s">
        <v>1071</v>
      </c>
      <c r="B311" t="s">
        <v>629</v>
      </c>
      <c r="C311" t="s">
        <v>630</v>
      </c>
      <c r="D311">
        <v>0</v>
      </c>
      <c r="E311" t="s">
        <v>631</v>
      </c>
      <c r="F311" t="s">
        <v>630</v>
      </c>
      <c r="G311">
        <v>6500</v>
      </c>
      <c r="H311">
        <v>0</v>
      </c>
      <c r="I311">
        <v>105</v>
      </c>
      <c r="J311">
        <v>360</v>
      </c>
      <c r="K311">
        <v>0</v>
      </c>
      <c r="L311" t="s">
        <v>636</v>
      </c>
      <c r="M311" t="s">
        <v>637</v>
      </c>
    </row>
    <row r="312" spans="1:13" x14ac:dyDescent="0.3">
      <c r="A312" t="s">
        <v>1073</v>
      </c>
      <c r="B312" t="s">
        <v>629</v>
      </c>
      <c r="C312" t="s">
        <v>635</v>
      </c>
      <c r="D312">
        <v>0</v>
      </c>
      <c r="E312" t="s">
        <v>631</v>
      </c>
      <c r="F312" t="s">
        <v>630</v>
      </c>
      <c r="G312">
        <v>2425</v>
      </c>
      <c r="H312">
        <v>2340</v>
      </c>
      <c r="I312">
        <v>143</v>
      </c>
      <c r="J312">
        <v>360</v>
      </c>
      <c r="K312">
        <v>1</v>
      </c>
      <c r="L312" t="s">
        <v>646</v>
      </c>
      <c r="M312" t="s">
        <v>633</v>
      </c>
    </row>
    <row r="313" spans="1:13" x14ac:dyDescent="0.3">
      <c r="A313" t="s">
        <v>1074</v>
      </c>
      <c r="B313" t="s">
        <v>629</v>
      </c>
      <c r="C313" t="s">
        <v>630</v>
      </c>
      <c r="D313">
        <v>0</v>
      </c>
      <c r="E313" t="s">
        <v>631</v>
      </c>
      <c r="F313" t="s">
        <v>630</v>
      </c>
      <c r="G313">
        <v>3750</v>
      </c>
      <c r="H313">
        <v>0</v>
      </c>
      <c r="I313">
        <v>100</v>
      </c>
      <c r="J313">
        <v>360</v>
      </c>
      <c r="K313">
        <v>1</v>
      </c>
      <c r="L313" t="s">
        <v>632</v>
      </c>
      <c r="M313" t="s">
        <v>633</v>
      </c>
    </row>
    <row r="314" spans="1:13" x14ac:dyDescent="0.3">
      <c r="A314" t="s">
        <v>1076</v>
      </c>
      <c r="B314" t="s">
        <v>629</v>
      </c>
      <c r="C314" t="s">
        <v>630</v>
      </c>
      <c r="D314">
        <v>0</v>
      </c>
      <c r="E314" t="s">
        <v>631</v>
      </c>
      <c r="F314" t="s">
        <v>630</v>
      </c>
      <c r="G314">
        <v>1926</v>
      </c>
      <c r="H314">
        <v>1851</v>
      </c>
      <c r="I314">
        <v>50</v>
      </c>
      <c r="J314">
        <v>360</v>
      </c>
      <c r="K314">
        <v>1</v>
      </c>
      <c r="L314" t="s">
        <v>646</v>
      </c>
      <c r="M314" t="s">
        <v>633</v>
      </c>
    </row>
    <row r="315" spans="1:13" x14ac:dyDescent="0.3">
      <c r="A315" t="s">
        <v>1078</v>
      </c>
      <c r="B315" t="s">
        <v>629</v>
      </c>
      <c r="C315" t="s">
        <v>630</v>
      </c>
      <c r="D315">
        <v>0</v>
      </c>
      <c r="E315" t="s">
        <v>631</v>
      </c>
      <c r="F315" t="s">
        <v>635</v>
      </c>
      <c r="G315">
        <v>10416</v>
      </c>
      <c r="H315">
        <v>0</v>
      </c>
      <c r="I315">
        <v>187</v>
      </c>
      <c r="J315">
        <v>360</v>
      </c>
      <c r="K315">
        <v>0</v>
      </c>
      <c r="L315" t="s">
        <v>632</v>
      </c>
      <c r="M315" t="s">
        <v>637</v>
      </c>
    </row>
    <row r="316" spans="1:13" x14ac:dyDescent="0.3">
      <c r="A316" t="s">
        <v>1079</v>
      </c>
      <c r="B316" t="s">
        <v>657</v>
      </c>
      <c r="C316" t="s">
        <v>635</v>
      </c>
      <c r="D316">
        <v>0</v>
      </c>
      <c r="E316" t="s">
        <v>640</v>
      </c>
      <c r="F316" t="s">
        <v>635</v>
      </c>
      <c r="G316">
        <v>7142</v>
      </c>
      <c r="H316">
        <v>0</v>
      </c>
      <c r="I316">
        <v>138</v>
      </c>
      <c r="J316">
        <v>360</v>
      </c>
      <c r="K316">
        <v>1</v>
      </c>
      <c r="L316" t="s">
        <v>636</v>
      </c>
      <c r="M316" t="s">
        <v>633</v>
      </c>
    </row>
    <row r="317" spans="1:13" x14ac:dyDescent="0.3">
      <c r="A317" t="s">
        <v>1080</v>
      </c>
      <c r="B317" t="s">
        <v>629</v>
      </c>
      <c r="C317" t="s">
        <v>630</v>
      </c>
      <c r="D317">
        <v>0</v>
      </c>
      <c r="E317" t="s">
        <v>631</v>
      </c>
      <c r="F317" t="s">
        <v>630</v>
      </c>
      <c r="G317">
        <v>3660</v>
      </c>
      <c r="H317">
        <v>5064</v>
      </c>
      <c r="I317">
        <v>187</v>
      </c>
      <c r="J317">
        <v>360</v>
      </c>
      <c r="K317">
        <v>1</v>
      </c>
      <c r="L317" t="s">
        <v>646</v>
      </c>
      <c r="M317" t="s">
        <v>633</v>
      </c>
    </row>
    <row r="318" spans="1:13" x14ac:dyDescent="0.3">
      <c r="A318" t="s">
        <v>1081</v>
      </c>
      <c r="B318" t="s">
        <v>629</v>
      </c>
      <c r="C318" t="s">
        <v>635</v>
      </c>
      <c r="D318">
        <v>0</v>
      </c>
      <c r="E318" t="s">
        <v>631</v>
      </c>
      <c r="F318" t="s">
        <v>630</v>
      </c>
      <c r="G318">
        <v>7901</v>
      </c>
      <c r="H318">
        <v>1833</v>
      </c>
      <c r="I318">
        <v>180</v>
      </c>
      <c r="J318">
        <v>360</v>
      </c>
      <c r="K318">
        <v>1</v>
      </c>
      <c r="L318" t="s">
        <v>636</v>
      </c>
      <c r="M318" t="s">
        <v>633</v>
      </c>
    </row>
    <row r="319" spans="1:13" x14ac:dyDescent="0.3">
      <c r="A319" t="s">
        <v>1082</v>
      </c>
      <c r="B319" t="s">
        <v>629</v>
      </c>
      <c r="C319" t="s">
        <v>630</v>
      </c>
      <c r="D319" t="s">
        <v>645</v>
      </c>
      <c r="E319" t="s">
        <v>640</v>
      </c>
      <c r="F319" t="s">
        <v>630</v>
      </c>
      <c r="G319">
        <v>4707</v>
      </c>
      <c r="H319">
        <v>1993</v>
      </c>
      <c r="I319">
        <v>148</v>
      </c>
      <c r="J319">
        <v>360</v>
      </c>
      <c r="K319">
        <v>1</v>
      </c>
      <c r="L319" t="s">
        <v>646</v>
      </c>
      <c r="M319" t="s">
        <v>633</v>
      </c>
    </row>
    <row r="320" spans="1:13" x14ac:dyDescent="0.3">
      <c r="A320" t="s">
        <v>1083</v>
      </c>
      <c r="B320" t="s">
        <v>629</v>
      </c>
      <c r="C320" t="s">
        <v>630</v>
      </c>
      <c r="D320">
        <v>1</v>
      </c>
      <c r="E320" t="s">
        <v>631</v>
      </c>
      <c r="F320" t="s">
        <v>630</v>
      </c>
      <c r="G320">
        <v>37719</v>
      </c>
      <c r="H320">
        <v>0</v>
      </c>
      <c r="I320">
        <v>152</v>
      </c>
      <c r="J320">
        <v>360</v>
      </c>
      <c r="K320">
        <v>1</v>
      </c>
      <c r="L320" t="s">
        <v>646</v>
      </c>
      <c r="M320" t="s">
        <v>633</v>
      </c>
    </row>
    <row r="321" spans="1:13" x14ac:dyDescent="0.3">
      <c r="A321" t="s">
        <v>1085</v>
      </c>
      <c r="B321" t="s">
        <v>629</v>
      </c>
      <c r="C321" t="s">
        <v>635</v>
      </c>
      <c r="D321">
        <v>1</v>
      </c>
      <c r="E321" t="s">
        <v>631</v>
      </c>
      <c r="F321" t="s">
        <v>635</v>
      </c>
      <c r="G321">
        <v>3466</v>
      </c>
      <c r="H321">
        <v>1210</v>
      </c>
      <c r="I321">
        <v>130</v>
      </c>
      <c r="J321">
        <v>360</v>
      </c>
      <c r="K321">
        <v>1</v>
      </c>
      <c r="L321" t="s">
        <v>636</v>
      </c>
      <c r="M321" t="s">
        <v>633</v>
      </c>
    </row>
    <row r="322" spans="1:13" x14ac:dyDescent="0.3">
      <c r="A322" t="s">
        <v>1086</v>
      </c>
      <c r="B322" t="s">
        <v>629</v>
      </c>
      <c r="C322" t="s">
        <v>635</v>
      </c>
      <c r="D322">
        <v>2</v>
      </c>
      <c r="E322" t="s">
        <v>640</v>
      </c>
      <c r="F322" t="s">
        <v>630</v>
      </c>
      <c r="G322">
        <v>4652</v>
      </c>
      <c r="H322">
        <v>0</v>
      </c>
      <c r="I322">
        <v>110</v>
      </c>
      <c r="J322">
        <v>360</v>
      </c>
      <c r="K322">
        <v>1</v>
      </c>
      <c r="L322" t="s">
        <v>636</v>
      </c>
      <c r="M322" t="s">
        <v>633</v>
      </c>
    </row>
    <row r="323" spans="1:13" x14ac:dyDescent="0.3">
      <c r="A323" t="s">
        <v>1088</v>
      </c>
      <c r="B323" t="s">
        <v>629</v>
      </c>
      <c r="C323" t="s">
        <v>635</v>
      </c>
      <c r="D323">
        <v>2</v>
      </c>
      <c r="E323" t="s">
        <v>631</v>
      </c>
      <c r="F323" t="s">
        <v>630</v>
      </c>
      <c r="G323">
        <v>3340</v>
      </c>
      <c r="H323">
        <v>1710</v>
      </c>
      <c r="I323">
        <v>150</v>
      </c>
      <c r="J323">
        <v>360</v>
      </c>
      <c r="K323">
        <v>0</v>
      </c>
      <c r="L323" t="s">
        <v>636</v>
      </c>
      <c r="M323" t="s">
        <v>637</v>
      </c>
    </row>
    <row r="324" spans="1:13" x14ac:dyDescent="0.3">
      <c r="A324" t="s">
        <v>1090</v>
      </c>
      <c r="B324" t="s">
        <v>629</v>
      </c>
      <c r="C324" t="s">
        <v>635</v>
      </c>
      <c r="D324">
        <v>2</v>
      </c>
      <c r="E324" t="s">
        <v>640</v>
      </c>
      <c r="F324" t="s">
        <v>630</v>
      </c>
      <c r="G324">
        <v>2309</v>
      </c>
      <c r="H324">
        <v>1255</v>
      </c>
      <c r="I324">
        <v>125</v>
      </c>
      <c r="J324">
        <v>360</v>
      </c>
      <c r="K324">
        <v>0</v>
      </c>
      <c r="L324" t="s">
        <v>636</v>
      </c>
      <c r="M324" t="s">
        <v>637</v>
      </c>
    </row>
    <row r="325" spans="1:13" x14ac:dyDescent="0.3">
      <c r="A325" t="s">
        <v>1092</v>
      </c>
      <c r="B325" t="s">
        <v>629</v>
      </c>
      <c r="C325" t="s">
        <v>635</v>
      </c>
      <c r="D325">
        <v>0</v>
      </c>
      <c r="E325" t="s">
        <v>631</v>
      </c>
      <c r="F325" t="s">
        <v>630</v>
      </c>
      <c r="G325">
        <v>3948</v>
      </c>
      <c r="H325">
        <v>1733</v>
      </c>
      <c r="I325">
        <v>149</v>
      </c>
      <c r="J325">
        <v>360</v>
      </c>
      <c r="K325">
        <v>0</v>
      </c>
      <c r="L325" t="s">
        <v>636</v>
      </c>
      <c r="M325" t="s">
        <v>637</v>
      </c>
    </row>
    <row r="326" spans="1:13" x14ac:dyDescent="0.3">
      <c r="A326" t="s">
        <v>1093</v>
      </c>
      <c r="B326" t="s">
        <v>629</v>
      </c>
      <c r="C326" t="s">
        <v>635</v>
      </c>
      <c r="D326">
        <v>0</v>
      </c>
      <c r="E326" t="s">
        <v>631</v>
      </c>
      <c r="F326" t="s">
        <v>630</v>
      </c>
      <c r="G326">
        <v>2483</v>
      </c>
      <c r="H326">
        <v>2466</v>
      </c>
      <c r="I326">
        <v>90</v>
      </c>
      <c r="J326">
        <v>180</v>
      </c>
      <c r="K326">
        <v>0</v>
      </c>
      <c r="L326" t="s">
        <v>636</v>
      </c>
      <c r="M326" t="s">
        <v>633</v>
      </c>
    </row>
    <row r="327" spans="1:13" x14ac:dyDescent="0.3">
      <c r="A327" t="s">
        <v>1094</v>
      </c>
      <c r="B327" t="s">
        <v>629</v>
      </c>
      <c r="C327" t="s">
        <v>630</v>
      </c>
      <c r="D327">
        <v>0</v>
      </c>
      <c r="E327" t="s">
        <v>631</v>
      </c>
      <c r="F327" t="s">
        <v>635</v>
      </c>
      <c r="G327">
        <v>7085</v>
      </c>
      <c r="H327">
        <v>0</v>
      </c>
      <c r="I327">
        <v>84</v>
      </c>
      <c r="J327">
        <v>360</v>
      </c>
      <c r="K327">
        <v>1</v>
      </c>
      <c r="L327" t="s">
        <v>646</v>
      </c>
      <c r="M327" t="s">
        <v>633</v>
      </c>
    </row>
    <row r="328" spans="1:13" x14ac:dyDescent="0.3">
      <c r="A328" t="s">
        <v>1095</v>
      </c>
      <c r="B328" t="s">
        <v>629</v>
      </c>
      <c r="C328" t="s">
        <v>635</v>
      </c>
      <c r="D328">
        <v>2</v>
      </c>
      <c r="E328" t="s">
        <v>631</v>
      </c>
      <c r="F328" t="s">
        <v>630</v>
      </c>
      <c r="G328">
        <v>3859</v>
      </c>
      <c r="H328">
        <v>0</v>
      </c>
      <c r="I328">
        <v>96</v>
      </c>
      <c r="J328">
        <v>360</v>
      </c>
      <c r="K328">
        <v>1</v>
      </c>
      <c r="L328" t="s">
        <v>646</v>
      </c>
      <c r="M328" t="s">
        <v>633</v>
      </c>
    </row>
    <row r="329" spans="1:13" x14ac:dyDescent="0.3">
      <c r="A329" t="s">
        <v>1096</v>
      </c>
      <c r="B329" t="s">
        <v>629</v>
      </c>
      <c r="C329" t="s">
        <v>635</v>
      </c>
      <c r="D329">
        <v>0</v>
      </c>
      <c r="E329" t="s">
        <v>631</v>
      </c>
      <c r="F329" t="s">
        <v>630</v>
      </c>
      <c r="G329">
        <v>4301</v>
      </c>
      <c r="H329">
        <v>0</v>
      </c>
      <c r="I329">
        <v>118</v>
      </c>
      <c r="J329">
        <v>360</v>
      </c>
      <c r="K329">
        <v>1</v>
      </c>
      <c r="L329" t="s">
        <v>632</v>
      </c>
      <c r="M329" t="s">
        <v>633</v>
      </c>
    </row>
    <row r="330" spans="1:13" x14ac:dyDescent="0.3">
      <c r="A330" t="s">
        <v>1097</v>
      </c>
      <c r="B330" t="s">
        <v>629</v>
      </c>
      <c r="C330" t="s">
        <v>635</v>
      </c>
      <c r="D330">
        <v>0</v>
      </c>
      <c r="E330" t="s">
        <v>631</v>
      </c>
      <c r="F330" t="s">
        <v>630</v>
      </c>
      <c r="G330">
        <v>3708</v>
      </c>
      <c r="H330">
        <v>2569</v>
      </c>
      <c r="I330">
        <v>173</v>
      </c>
      <c r="J330">
        <v>360</v>
      </c>
      <c r="K330">
        <v>1</v>
      </c>
      <c r="L330" t="s">
        <v>632</v>
      </c>
      <c r="M330" t="s">
        <v>637</v>
      </c>
    </row>
    <row r="331" spans="1:13" x14ac:dyDescent="0.3">
      <c r="A331" t="s">
        <v>1098</v>
      </c>
      <c r="B331" t="s">
        <v>629</v>
      </c>
      <c r="C331" t="s">
        <v>630</v>
      </c>
      <c r="D331">
        <v>2</v>
      </c>
      <c r="E331" t="s">
        <v>631</v>
      </c>
      <c r="F331" t="s">
        <v>630</v>
      </c>
      <c r="G331">
        <v>4354</v>
      </c>
      <c r="H331">
        <v>0</v>
      </c>
      <c r="I331">
        <v>136</v>
      </c>
      <c r="J331">
        <v>360</v>
      </c>
      <c r="K331">
        <v>1</v>
      </c>
      <c r="L331" t="s">
        <v>636</v>
      </c>
      <c r="M331" t="s">
        <v>633</v>
      </c>
    </row>
    <row r="332" spans="1:13" x14ac:dyDescent="0.3">
      <c r="A332" t="s">
        <v>1099</v>
      </c>
      <c r="B332" t="s">
        <v>629</v>
      </c>
      <c r="C332" t="s">
        <v>635</v>
      </c>
      <c r="D332">
        <v>0</v>
      </c>
      <c r="E332" t="s">
        <v>631</v>
      </c>
      <c r="F332" t="s">
        <v>630</v>
      </c>
      <c r="G332">
        <v>8334</v>
      </c>
      <c r="H332">
        <v>0</v>
      </c>
      <c r="I332">
        <v>160</v>
      </c>
      <c r="J332">
        <v>360</v>
      </c>
      <c r="K332">
        <v>1</v>
      </c>
      <c r="L332" t="s">
        <v>646</v>
      </c>
      <c r="M332" t="s">
        <v>637</v>
      </c>
    </row>
    <row r="333" spans="1:13" x14ac:dyDescent="0.3">
      <c r="A333" t="s">
        <v>1101</v>
      </c>
      <c r="B333" t="s">
        <v>629</v>
      </c>
      <c r="C333" t="s">
        <v>635</v>
      </c>
      <c r="D333" t="s">
        <v>645</v>
      </c>
      <c r="E333" t="s">
        <v>631</v>
      </c>
      <c r="F333" t="s">
        <v>630</v>
      </c>
      <c r="G333">
        <v>7740</v>
      </c>
      <c r="H333">
        <v>0</v>
      </c>
      <c r="I333">
        <v>128</v>
      </c>
      <c r="J333">
        <v>180</v>
      </c>
      <c r="K333">
        <v>1</v>
      </c>
      <c r="L333" t="s">
        <v>632</v>
      </c>
      <c r="M333" t="s">
        <v>633</v>
      </c>
    </row>
    <row r="334" spans="1:13" x14ac:dyDescent="0.3">
      <c r="A334" t="s">
        <v>1102</v>
      </c>
      <c r="B334" t="s">
        <v>629</v>
      </c>
      <c r="C334" t="s">
        <v>635</v>
      </c>
      <c r="D334">
        <v>0</v>
      </c>
      <c r="E334" t="s">
        <v>631</v>
      </c>
      <c r="F334" t="s">
        <v>630</v>
      </c>
      <c r="G334">
        <v>3015</v>
      </c>
      <c r="H334">
        <v>2188</v>
      </c>
      <c r="I334">
        <v>153</v>
      </c>
      <c r="J334">
        <v>360</v>
      </c>
      <c r="K334">
        <v>1</v>
      </c>
      <c r="L334" t="s">
        <v>636</v>
      </c>
      <c r="M334" t="s">
        <v>633</v>
      </c>
    </row>
    <row r="335" spans="1:13" x14ac:dyDescent="0.3">
      <c r="A335" t="s">
        <v>1104</v>
      </c>
      <c r="B335" t="s">
        <v>629</v>
      </c>
      <c r="C335" t="s">
        <v>630</v>
      </c>
      <c r="D335">
        <v>0</v>
      </c>
      <c r="E335" t="s">
        <v>631</v>
      </c>
      <c r="F335" t="s">
        <v>630</v>
      </c>
      <c r="G335">
        <v>4166</v>
      </c>
      <c r="H335">
        <v>0</v>
      </c>
      <c r="I335">
        <v>98</v>
      </c>
      <c r="J335">
        <v>360</v>
      </c>
      <c r="K335">
        <v>0</v>
      </c>
      <c r="L335" t="s">
        <v>646</v>
      </c>
      <c r="M335" t="s">
        <v>637</v>
      </c>
    </row>
    <row r="336" spans="1:13" x14ac:dyDescent="0.3">
      <c r="A336" t="s">
        <v>1105</v>
      </c>
      <c r="B336" t="s">
        <v>629</v>
      </c>
      <c r="C336" t="s">
        <v>630</v>
      </c>
      <c r="D336">
        <v>0</v>
      </c>
      <c r="E336" t="s">
        <v>631</v>
      </c>
      <c r="F336" t="s">
        <v>630</v>
      </c>
      <c r="G336">
        <v>6000</v>
      </c>
      <c r="H336">
        <v>0</v>
      </c>
      <c r="I336">
        <v>140</v>
      </c>
      <c r="J336">
        <v>360</v>
      </c>
      <c r="K336">
        <v>1</v>
      </c>
      <c r="L336" t="s">
        <v>636</v>
      </c>
      <c r="M336" t="s">
        <v>633</v>
      </c>
    </row>
    <row r="337" spans="1:13" x14ac:dyDescent="0.3">
      <c r="A337" t="s">
        <v>1106</v>
      </c>
      <c r="B337" t="s">
        <v>629</v>
      </c>
      <c r="C337" t="s">
        <v>635</v>
      </c>
      <c r="D337" t="s">
        <v>645</v>
      </c>
      <c r="E337" t="s">
        <v>640</v>
      </c>
      <c r="F337" t="s">
        <v>630</v>
      </c>
      <c r="G337">
        <v>2947</v>
      </c>
      <c r="H337">
        <v>1664</v>
      </c>
      <c r="I337">
        <v>70</v>
      </c>
      <c r="J337">
        <v>180</v>
      </c>
      <c r="K337">
        <v>0</v>
      </c>
      <c r="L337" t="s">
        <v>632</v>
      </c>
      <c r="M337" t="s">
        <v>637</v>
      </c>
    </row>
    <row r="338" spans="1:13" x14ac:dyDescent="0.3">
      <c r="A338" t="s">
        <v>1109</v>
      </c>
      <c r="B338" t="s">
        <v>629</v>
      </c>
      <c r="C338" t="s">
        <v>635</v>
      </c>
      <c r="D338">
        <v>0</v>
      </c>
      <c r="E338" t="s">
        <v>631</v>
      </c>
      <c r="F338" t="s">
        <v>630</v>
      </c>
      <c r="G338">
        <v>4333</v>
      </c>
      <c r="H338">
        <v>2451</v>
      </c>
      <c r="I338">
        <v>110</v>
      </c>
      <c r="J338">
        <v>360</v>
      </c>
      <c r="K338">
        <v>1</v>
      </c>
      <c r="L338" t="s">
        <v>632</v>
      </c>
      <c r="M338" t="s">
        <v>637</v>
      </c>
    </row>
    <row r="339" spans="1:13" x14ac:dyDescent="0.3">
      <c r="A339" t="s">
        <v>1110</v>
      </c>
      <c r="B339" t="s">
        <v>629</v>
      </c>
      <c r="C339" t="s">
        <v>635</v>
      </c>
      <c r="D339">
        <v>1</v>
      </c>
      <c r="E339" t="s">
        <v>631</v>
      </c>
      <c r="F339" t="s">
        <v>635</v>
      </c>
      <c r="G339">
        <v>3450</v>
      </c>
      <c r="H339">
        <v>2079</v>
      </c>
      <c r="I339">
        <v>162</v>
      </c>
      <c r="J339">
        <v>360</v>
      </c>
      <c r="K339">
        <v>1</v>
      </c>
      <c r="L339" t="s">
        <v>646</v>
      </c>
      <c r="M339" t="s">
        <v>633</v>
      </c>
    </row>
    <row r="340" spans="1:13" x14ac:dyDescent="0.3">
      <c r="A340" t="s">
        <v>1111</v>
      </c>
      <c r="B340" t="s">
        <v>629</v>
      </c>
      <c r="C340" t="s">
        <v>635</v>
      </c>
      <c r="D340">
        <v>1</v>
      </c>
      <c r="E340" t="s">
        <v>640</v>
      </c>
      <c r="F340" t="s">
        <v>630</v>
      </c>
      <c r="G340">
        <v>2653</v>
      </c>
      <c r="H340">
        <v>1500</v>
      </c>
      <c r="I340">
        <v>113</v>
      </c>
      <c r="J340">
        <v>180</v>
      </c>
      <c r="K340">
        <v>0</v>
      </c>
      <c r="L340" t="s">
        <v>636</v>
      </c>
      <c r="M340" t="s">
        <v>637</v>
      </c>
    </row>
    <row r="341" spans="1:13" x14ac:dyDescent="0.3">
      <c r="A341" t="s">
        <v>1112</v>
      </c>
      <c r="B341" t="s">
        <v>629</v>
      </c>
      <c r="C341" t="s">
        <v>635</v>
      </c>
      <c r="D341" t="s">
        <v>645</v>
      </c>
      <c r="E341" t="s">
        <v>631</v>
      </c>
      <c r="F341" t="s">
        <v>630</v>
      </c>
      <c r="G341">
        <v>4691</v>
      </c>
      <c r="H341">
        <v>0</v>
      </c>
      <c r="I341">
        <v>100</v>
      </c>
      <c r="J341">
        <v>360</v>
      </c>
      <c r="K341">
        <v>1</v>
      </c>
      <c r="L341" t="s">
        <v>646</v>
      </c>
      <c r="M341" t="s">
        <v>633</v>
      </c>
    </row>
    <row r="342" spans="1:13" x14ac:dyDescent="0.3">
      <c r="A342" t="s">
        <v>1114</v>
      </c>
      <c r="B342" t="s">
        <v>629</v>
      </c>
      <c r="C342" t="s">
        <v>630</v>
      </c>
      <c r="D342">
        <v>2</v>
      </c>
      <c r="E342" t="s">
        <v>631</v>
      </c>
      <c r="F342" t="s">
        <v>630</v>
      </c>
      <c r="G342">
        <v>5532</v>
      </c>
      <c r="H342">
        <v>4648</v>
      </c>
      <c r="I342">
        <v>162</v>
      </c>
      <c r="J342">
        <v>360</v>
      </c>
      <c r="K342">
        <v>1</v>
      </c>
      <c r="L342" t="s">
        <v>636</v>
      </c>
      <c r="M342" t="s">
        <v>633</v>
      </c>
    </row>
    <row r="343" spans="1:13" x14ac:dyDescent="0.3">
      <c r="A343" t="s">
        <v>1115</v>
      </c>
      <c r="B343" t="s">
        <v>629</v>
      </c>
      <c r="C343" t="s">
        <v>635</v>
      </c>
      <c r="D343">
        <v>2</v>
      </c>
      <c r="E343" t="s">
        <v>631</v>
      </c>
      <c r="F343" t="s">
        <v>635</v>
      </c>
      <c r="G343">
        <v>16525</v>
      </c>
      <c r="H343">
        <v>1014</v>
      </c>
      <c r="I343">
        <v>150</v>
      </c>
      <c r="J343">
        <v>360</v>
      </c>
      <c r="K343">
        <v>1</v>
      </c>
      <c r="L343" t="s">
        <v>636</v>
      </c>
      <c r="M343" t="s">
        <v>633</v>
      </c>
    </row>
    <row r="344" spans="1:13" x14ac:dyDescent="0.3">
      <c r="A344" t="s">
        <v>1116</v>
      </c>
      <c r="B344" t="s">
        <v>629</v>
      </c>
      <c r="C344" t="s">
        <v>635</v>
      </c>
      <c r="D344">
        <v>2</v>
      </c>
      <c r="E344" t="s">
        <v>631</v>
      </c>
      <c r="F344" t="s">
        <v>630</v>
      </c>
      <c r="G344">
        <v>6700</v>
      </c>
      <c r="H344">
        <v>1750</v>
      </c>
      <c r="I344">
        <v>230</v>
      </c>
      <c r="J344">
        <v>300</v>
      </c>
      <c r="K344">
        <v>1</v>
      </c>
      <c r="L344" t="s">
        <v>646</v>
      </c>
      <c r="M344" t="s">
        <v>633</v>
      </c>
    </row>
    <row r="345" spans="1:13" x14ac:dyDescent="0.3">
      <c r="A345" t="s">
        <v>1118</v>
      </c>
      <c r="B345" t="s">
        <v>629</v>
      </c>
      <c r="C345" t="s">
        <v>635</v>
      </c>
      <c r="D345">
        <v>1</v>
      </c>
      <c r="E345" t="s">
        <v>631</v>
      </c>
      <c r="F345" t="s">
        <v>635</v>
      </c>
      <c r="G345">
        <v>16667</v>
      </c>
      <c r="H345">
        <v>2250</v>
      </c>
      <c r="I345">
        <v>86</v>
      </c>
      <c r="J345">
        <v>360</v>
      </c>
      <c r="K345">
        <v>1</v>
      </c>
      <c r="L345" t="s">
        <v>646</v>
      </c>
      <c r="M345" t="s">
        <v>633</v>
      </c>
    </row>
    <row r="346" spans="1:13" x14ac:dyDescent="0.3">
      <c r="A346" t="s">
        <v>1120</v>
      </c>
      <c r="B346" t="s">
        <v>657</v>
      </c>
      <c r="C346" t="s">
        <v>630</v>
      </c>
      <c r="D346">
        <v>0</v>
      </c>
      <c r="E346" t="s">
        <v>640</v>
      </c>
      <c r="F346" t="s">
        <v>630</v>
      </c>
      <c r="G346">
        <v>4350</v>
      </c>
      <c r="H346">
        <v>0</v>
      </c>
      <c r="I346">
        <v>154</v>
      </c>
      <c r="J346">
        <v>360</v>
      </c>
      <c r="K346">
        <v>1</v>
      </c>
      <c r="L346" t="s">
        <v>636</v>
      </c>
      <c r="M346" t="s">
        <v>633</v>
      </c>
    </row>
    <row r="347" spans="1:13" x14ac:dyDescent="0.3">
      <c r="A347" t="s">
        <v>1121</v>
      </c>
      <c r="B347" t="s">
        <v>629</v>
      </c>
      <c r="C347" t="s">
        <v>635</v>
      </c>
      <c r="D347" t="s">
        <v>645</v>
      </c>
      <c r="E347" t="s">
        <v>640</v>
      </c>
      <c r="F347" t="s">
        <v>630</v>
      </c>
      <c r="G347">
        <v>3095</v>
      </c>
      <c r="H347">
        <v>0</v>
      </c>
      <c r="I347">
        <v>113</v>
      </c>
      <c r="J347">
        <v>360</v>
      </c>
      <c r="K347">
        <v>1</v>
      </c>
      <c r="L347" t="s">
        <v>636</v>
      </c>
      <c r="M347" t="s">
        <v>633</v>
      </c>
    </row>
    <row r="348" spans="1:13" x14ac:dyDescent="0.3">
      <c r="A348" t="s">
        <v>1122</v>
      </c>
      <c r="B348" t="s">
        <v>629</v>
      </c>
      <c r="C348" t="s">
        <v>635</v>
      </c>
      <c r="D348">
        <v>0</v>
      </c>
      <c r="E348" t="s">
        <v>631</v>
      </c>
      <c r="F348" t="s">
        <v>630</v>
      </c>
      <c r="G348">
        <v>2083</v>
      </c>
      <c r="H348">
        <v>3150</v>
      </c>
      <c r="I348">
        <v>128</v>
      </c>
      <c r="J348">
        <v>360</v>
      </c>
      <c r="K348">
        <v>1</v>
      </c>
      <c r="L348" t="s">
        <v>646</v>
      </c>
      <c r="M348" t="s">
        <v>633</v>
      </c>
    </row>
    <row r="349" spans="1:13" x14ac:dyDescent="0.3">
      <c r="A349" t="s">
        <v>1123</v>
      </c>
      <c r="B349" t="s">
        <v>629</v>
      </c>
      <c r="C349" t="s">
        <v>635</v>
      </c>
      <c r="D349">
        <v>0</v>
      </c>
      <c r="E349" t="s">
        <v>631</v>
      </c>
      <c r="F349" t="s">
        <v>630</v>
      </c>
      <c r="G349">
        <v>10833</v>
      </c>
      <c r="H349">
        <v>0</v>
      </c>
      <c r="I349">
        <v>234</v>
      </c>
      <c r="J349">
        <v>360</v>
      </c>
      <c r="K349">
        <v>1</v>
      </c>
      <c r="L349" t="s">
        <v>646</v>
      </c>
      <c r="M349" t="s">
        <v>633</v>
      </c>
    </row>
    <row r="350" spans="1:13" x14ac:dyDescent="0.3">
      <c r="A350" t="s">
        <v>1124</v>
      </c>
      <c r="B350" t="s">
        <v>629</v>
      </c>
      <c r="C350" t="s">
        <v>635</v>
      </c>
      <c r="D350">
        <v>2</v>
      </c>
      <c r="E350" t="s">
        <v>631</v>
      </c>
      <c r="F350" t="s">
        <v>630</v>
      </c>
      <c r="G350">
        <v>8333</v>
      </c>
      <c r="H350">
        <v>0</v>
      </c>
      <c r="I350">
        <v>246</v>
      </c>
      <c r="J350">
        <v>360</v>
      </c>
      <c r="K350">
        <v>1</v>
      </c>
      <c r="L350" t="s">
        <v>646</v>
      </c>
      <c r="M350" t="s">
        <v>633</v>
      </c>
    </row>
    <row r="351" spans="1:13" x14ac:dyDescent="0.3">
      <c r="A351" t="s">
        <v>1125</v>
      </c>
      <c r="B351" t="s">
        <v>629</v>
      </c>
      <c r="C351" t="s">
        <v>635</v>
      </c>
      <c r="D351">
        <v>1</v>
      </c>
      <c r="E351" t="s">
        <v>640</v>
      </c>
      <c r="F351" t="s">
        <v>630</v>
      </c>
      <c r="G351">
        <v>1958</v>
      </c>
      <c r="H351">
        <v>2436</v>
      </c>
      <c r="I351">
        <v>131</v>
      </c>
      <c r="J351">
        <v>360</v>
      </c>
      <c r="K351">
        <v>1</v>
      </c>
      <c r="L351" t="s">
        <v>636</v>
      </c>
      <c r="M351" t="s">
        <v>633</v>
      </c>
    </row>
    <row r="352" spans="1:13" x14ac:dyDescent="0.3">
      <c r="A352" t="s">
        <v>1126</v>
      </c>
      <c r="B352" t="s">
        <v>629</v>
      </c>
      <c r="C352" t="s">
        <v>630</v>
      </c>
      <c r="D352">
        <v>2</v>
      </c>
      <c r="E352" t="s">
        <v>631</v>
      </c>
      <c r="F352" t="s">
        <v>630</v>
      </c>
      <c r="G352">
        <v>3547</v>
      </c>
      <c r="H352">
        <v>0</v>
      </c>
      <c r="I352">
        <v>80</v>
      </c>
      <c r="J352">
        <v>360</v>
      </c>
      <c r="K352">
        <v>0</v>
      </c>
      <c r="L352" t="s">
        <v>636</v>
      </c>
      <c r="M352" t="s">
        <v>637</v>
      </c>
    </row>
    <row r="353" spans="1:13" x14ac:dyDescent="0.3">
      <c r="A353" t="s">
        <v>1128</v>
      </c>
      <c r="B353" t="s">
        <v>629</v>
      </c>
      <c r="C353" t="s">
        <v>635</v>
      </c>
      <c r="D353">
        <v>2</v>
      </c>
      <c r="E353" t="s">
        <v>631</v>
      </c>
      <c r="F353" t="s">
        <v>635</v>
      </c>
      <c r="G353">
        <v>4583</v>
      </c>
      <c r="H353">
        <v>2083</v>
      </c>
      <c r="I353">
        <v>160</v>
      </c>
      <c r="J353">
        <v>360</v>
      </c>
      <c r="K353">
        <v>1</v>
      </c>
      <c r="L353" t="s">
        <v>646</v>
      </c>
      <c r="M353" t="s">
        <v>633</v>
      </c>
    </row>
    <row r="354" spans="1:13" x14ac:dyDescent="0.3">
      <c r="A354" t="s">
        <v>1129</v>
      </c>
      <c r="B354" t="s">
        <v>629</v>
      </c>
      <c r="C354" t="s">
        <v>630</v>
      </c>
      <c r="D354">
        <v>0</v>
      </c>
      <c r="E354" t="s">
        <v>631</v>
      </c>
      <c r="F354" t="s">
        <v>630</v>
      </c>
      <c r="G354">
        <v>2435</v>
      </c>
      <c r="H354">
        <v>0</v>
      </c>
      <c r="I354">
        <v>75</v>
      </c>
      <c r="J354">
        <v>360</v>
      </c>
      <c r="K354">
        <v>1</v>
      </c>
      <c r="L354" t="s">
        <v>632</v>
      </c>
      <c r="M354" t="s">
        <v>637</v>
      </c>
    </row>
    <row r="355" spans="1:13" x14ac:dyDescent="0.3">
      <c r="A355" t="s">
        <v>1132</v>
      </c>
      <c r="B355" t="s">
        <v>629</v>
      </c>
      <c r="C355" t="s">
        <v>630</v>
      </c>
      <c r="D355">
        <v>0</v>
      </c>
      <c r="E355" t="s">
        <v>640</v>
      </c>
      <c r="F355" t="s">
        <v>630</v>
      </c>
      <c r="G355">
        <v>3691</v>
      </c>
      <c r="H355">
        <v>0</v>
      </c>
      <c r="I355">
        <v>110</v>
      </c>
      <c r="J355">
        <v>360</v>
      </c>
      <c r="K355">
        <v>1</v>
      </c>
      <c r="L355" t="s">
        <v>636</v>
      </c>
      <c r="M355" t="s">
        <v>633</v>
      </c>
    </row>
    <row r="356" spans="1:13" x14ac:dyDescent="0.3">
      <c r="A356" t="s">
        <v>1133</v>
      </c>
      <c r="B356" t="s">
        <v>657</v>
      </c>
      <c r="C356" t="s">
        <v>630</v>
      </c>
      <c r="D356">
        <v>0</v>
      </c>
      <c r="E356" t="s">
        <v>640</v>
      </c>
      <c r="F356" t="s">
        <v>635</v>
      </c>
      <c r="G356">
        <v>17263</v>
      </c>
      <c r="H356">
        <v>0</v>
      </c>
      <c r="I356">
        <v>225</v>
      </c>
      <c r="J356">
        <v>360</v>
      </c>
      <c r="K356">
        <v>1</v>
      </c>
      <c r="L356" t="s">
        <v>646</v>
      </c>
      <c r="M356" t="s">
        <v>633</v>
      </c>
    </row>
    <row r="357" spans="1:13" x14ac:dyDescent="0.3">
      <c r="A357" t="s">
        <v>1134</v>
      </c>
      <c r="B357" t="s">
        <v>629</v>
      </c>
      <c r="C357" t="s">
        <v>635</v>
      </c>
      <c r="D357">
        <v>0</v>
      </c>
      <c r="E357" t="s">
        <v>631</v>
      </c>
      <c r="F357" t="s">
        <v>630</v>
      </c>
      <c r="G357">
        <v>3597</v>
      </c>
      <c r="H357">
        <v>2157</v>
      </c>
      <c r="I357">
        <v>119</v>
      </c>
      <c r="J357">
        <v>360</v>
      </c>
      <c r="K357">
        <v>0</v>
      </c>
      <c r="L357" t="s">
        <v>636</v>
      </c>
      <c r="M357" t="s">
        <v>637</v>
      </c>
    </row>
    <row r="358" spans="1:13" x14ac:dyDescent="0.3">
      <c r="A358" t="s">
        <v>1135</v>
      </c>
      <c r="B358" t="s">
        <v>657</v>
      </c>
      <c r="C358" t="s">
        <v>635</v>
      </c>
      <c r="D358">
        <v>1</v>
      </c>
      <c r="E358" t="s">
        <v>631</v>
      </c>
      <c r="F358" t="s">
        <v>630</v>
      </c>
      <c r="G358">
        <v>3326</v>
      </c>
      <c r="H358">
        <v>913</v>
      </c>
      <c r="I358">
        <v>105</v>
      </c>
      <c r="J358">
        <v>84</v>
      </c>
      <c r="K358">
        <v>1</v>
      </c>
      <c r="L358" t="s">
        <v>646</v>
      </c>
      <c r="M358" t="s">
        <v>633</v>
      </c>
    </row>
    <row r="359" spans="1:13" x14ac:dyDescent="0.3">
      <c r="A359" t="s">
        <v>1136</v>
      </c>
      <c r="B359" t="s">
        <v>629</v>
      </c>
      <c r="C359" t="s">
        <v>635</v>
      </c>
      <c r="D359">
        <v>0</v>
      </c>
      <c r="E359" t="s">
        <v>640</v>
      </c>
      <c r="F359" t="s">
        <v>630</v>
      </c>
      <c r="G359">
        <v>2600</v>
      </c>
      <c r="H359">
        <v>1700</v>
      </c>
      <c r="I359">
        <v>107</v>
      </c>
      <c r="J359">
        <v>360</v>
      </c>
      <c r="K359">
        <v>1</v>
      </c>
      <c r="L359" t="s">
        <v>636</v>
      </c>
      <c r="M359" t="s">
        <v>633</v>
      </c>
    </row>
    <row r="360" spans="1:13" x14ac:dyDescent="0.3">
      <c r="A360" t="s">
        <v>1138</v>
      </c>
      <c r="B360" t="s">
        <v>629</v>
      </c>
      <c r="C360" t="s">
        <v>635</v>
      </c>
      <c r="D360">
        <v>1</v>
      </c>
      <c r="E360" t="s">
        <v>631</v>
      </c>
      <c r="F360" t="s">
        <v>635</v>
      </c>
      <c r="G360">
        <v>2895</v>
      </c>
      <c r="H360">
        <v>0</v>
      </c>
      <c r="I360">
        <v>95</v>
      </c>
      <c r="J360">
        <v>360</v>
      </c>
      <c r="K360">
        <v>1</v>
      </c>
      <c r="L360" t="s">
        <v>646</v>
      </c>
      <c r="M360" t="s">
        <v>633</v>
      </c>
    </row>
    <row r="361" spans="1:13" x14ac:dyDescent="0.3">
      <c r="A361" t="s">
        <v>1139</v>
      </c>
      <c r="B361" t="s">
        <v>629</v>
      </c>
      <c r="C361" t="s">
        <v>630</v>
      </c>
      <c r="D361">
        <v>0</v>
      </c>
      <c r="E361" t="s">
        <v>631</v>
      </c>
      <c r="F361" t="s">
        <v>630</v>
      </c>
      <c r="G361">
        <v>6283</v>
      </c>
      <c r="H361">
        <v>4416</v>
      </c>
      <c r="I361">
        <v>209</v>
      </c>
      <c r="J361">
        <v>360</v>
      </c>
      <c r="K361">
        <v>0</v>
      </c>
      <c r="L361" t="s">
        <v>636</v>
      </c>
      <c r="M361" t="s">
        <v>637</v>
      </c>
    </row>
    <row r="362" spans="1:13" x14ac:dyDescent="0.3">
      <c r="A362" t="s">
        <v>1140</v>
      </c>
      <c r="B362" t="s">
        <v>657</v>
      </c>
      <c r="C362" t="s">
        <v>630</v>
      </c>
      <c r="D362">
        <v>0</v>
      </c>
      <c r="E362" t="s">
        <v>631</v>
      </c>
      <c r="F362" t="s">
        <v>630</v>
      </c>
      <c r="G362">
        <v>645</v>
      </c>
      <c r="H362">
        <v>3683</v>
      </c>
      <c r="I362">
        <v>113</v>
      </c>
      <c r="J362">
        <v>480</v>
      </c>
      <c r="K362">
        <v>1</v>
      </c>
      <c r="L362" t="s">
        <v>636</v>
      </c>
      <c r="M362" t="s">
        <v>633</v>
      </c>
    </row>
    <row r="363" spans="1:13" x14ac:dyDescent="0.3">
      <c r="A363" t="s">
        <v>1141</v>
      </c>
      <c r="B363" t="s">
        <v>657</v>
      </c>
      <c r="C363" t="s">
        <v>630</v>
      </c>
      <c r="D363">
        <v>0</v>
      </c>
      <c r="E363" t="s">
        <v>631</v>
      </c>
      <c r="F363" t="s">
        <v>630</v>
      </c>
      <c r="G363">
        <v>3159</v>
      </c>
      <c r="H363">
        <v>0</v>
      </c>
      <c r="I363">
        <v>100</v>
      </c>
      <c r="J363">
        <v>360</v>
      </c>
      <c r="K363">
        <v>1</v>
      </c>
      <c r="L363" t="s">
        <v>646</v>
      </c>
      <c r="M363" t="s">
        <v>633</v>
      </c>
    </row>
    <row r="364" spans="1:13" x14ac:dyDescent="0.3">
      <c r="A364" t="s">
        <v>1142</v>
      </c>
      <c r="B364" t="s">
        <v>629</v>
      </c>
      <c r="C364" t="s">
        <v>635</v>
      </c>
      <c r="D364">
        <v>2</v>
      </c>
      <c r="E364" t="s">
        <v>631</v>
      </c>
      <c r="F364" t="s">
        <v>630</v>
      </c>
      <c r="G364">
        <v>4865</v>
      </c>
      <c r="H364">
        <v>5624</v>
      </c>
      <c r="I364">
        <v>208</v>
      </c>
      <c r="J364">
        <v>360</v>
      </c>
      <c r="K364">
        <v>1</v>
      </c>
      <c r="L364" t="s">
        <v>646</v>
      </c>
      <c r="M364" t="s">
        <v>633</v>
      </c>
    </row>
    <row r="365" spans="1:13" x14ac:dyDescent="0.3">
      <c r="A365" t="s">
        <v>1144</v>
      </c>
      <c r="B365" t="s">
        <v>629</v>
      </c>
      <c r="C365" t="s">
        <v>635</v>
      </c>
      <c r="D365">
        <v>0</v>
      </c>
      <c r="E365" t="s">
        <v>640</v>
      </c>
      <c r="F365" t="s">
        <v>630</v>
      </c>
      <c r="G365">
        <v>3814</v>
      </c>
      <c r="H365">
        <v>1483</v>
      </c>
      <c r="I365">
        <v>124</v>
      </c>
      <c r="J365">
        <v>300</v>
      </c>
      <c r="K365">
        <v>1</v>
      </c>
      <c r="L365" t="s">
        <v>646</v>
      </c>
      <c r="M365" t="s">
        <v>633</v>
      </c>
    </row>
    <row r="366" spans="1:13" x14ac:dyDescent="0.3">
      <c r="A366" t="s">
        <v>1145</v>
      </c>
      <c r="B366" t="s">
        <v>629</v>
      </c>
      <c r="C366" t="s">
        <v>635</v>
      </c>
      <c r="D366">
        <v>2</v>
      </c>
      <c r="E366" t="s">
        <v>631</v>
      </c>
      <c r="F366" t="s">
        <v>630</v>
      </c>
      <c r="G366">
        <v>3510</v>
      </c>
      <c r="H366">
        <v>4416</v>
      </c>
      <c r="I366">
        <v>243</v>
      </c>
      <c r="J366">
        <v>360</v>
      </c>
      <c r="K366">
        <v>1</v>
      </c>
      <c r="L366" t="s">
        <v>636</v>
      </c>
      <c r="M366" t="s">
        <v>633</v>
      </c>
    </row>
    <row r="367" spans="1:13" x14ac:dyDescent="0.3">
      <c r="A367" t="s">
        <v>1148</v>
      </c>
      <c r="B367" t="s">
        <v>629</v>
      </c>
      <c r="C367" t="s">
        <v>635</v>
      </c>
      <c r="D367">
        <v>0</v>
      </c>
      <c r="E367" t="s">
        <v>631</v>
      </c>
      <c r="F367" t="s">
        <v>635</v>
      </c>
      <c r="G367">
        <v>2479</v>
      </c>
      <c r="H367">
        <v>3013</v>
      </c>
      <c r="I367">
        <v>188</v>
      </c>
      <c r="J367">
        <v>360</v>
      </c>
      <c r="K367">
        <v>1</v>
      </c>
      <c r="L367" t="s">
        <v>632</v>
      </c>
      <c r="M367" t="s">
        <v>633</v>
      </c>
    </row>
    <row r="368" spans="1:13" x14ac:dyDescent="0.3">
      <c r="A368" t="s">
        <v>1149</v>
      </c>
      <c r="B368" t="s">
        <v>657</v>
      </c>
      <c r="C368" t="s">
        <v>630</v>
      </c>
      <c r="D368">
        <v>1</v>
      </c>
      <c r="E368" t="s">
        <v>631</v>
      </c>
      <c r="F368" t="s">
        <v>630</v>
      </c>
      <c r="G368">
        <v>13262</v>
      </c>
      <c r="H368">
        <v>0</v>
      </c>
      <c r="I368">
        <v>40</v>
      </c>
      <c r="J368">
        <v>360</v>
      </c>
      <c r="K368">
        <v>1</v>
      </c>
      <c r="L368" t="s">
        <v>632</v>
      </c>
      <c r="M368" t="s">
        <v>633</v>
      </c>
    </row>
    <row r="369" spans="1:13" x14ac:dyDescent="0.3">
      <c r="A369" t="s">
        <v>1150</v>
      </c>
      <c r="B369" t="s">
        <v>629</v>
      </c>
      <c r="C369" t="s">
        <v>630</v>
      </c>
      <c r="D369">
        <v>0</v>
      </c>
      <c r="E369" t="s">
        <v>640</v>
      </c>
      <c r="F369" t="s">
        <v>630</v>
      </c>
      <c r="G369">
        <v>3598</v>
      </c>
      <c r="H369">
        <v>1287</v>
      </c>
      <c r="I369">
        <v>100</v>
      </c>
      <c r="J369">
        <v>360</v>
      </c>
      <c r="K369">
        <v>1</v>
      </c>
      <c r="L369" t="s">
        <v>636</v>
      </c>
      <c r="M369" t="s">
        <v>637</v>
      </c>
    </row>
    <row r="370" spans="1:13" x14ac:dyDescent="0.3">
      <c r="A370" t="s">
        <v>1151</v>
      </c>
      <c r="B370" t="s">
        <v>629</v>
      </c>
      <c r="C370" t="s">
        <v>635</v>
      </c>
      <c r="D370">
        <v>1</v>
      </c>
      <c r="E370" t="s">
        <v>631</v>
      </c>
      <c r="F370" t="s">
        <v>630</v>
      </c>
      <c r="G370">
        <v>6065</v>
      </c>
      <c r="H370">
        <v>2004</v>
      </c>
      <c r="I370">
        <v>250</v>
      </c>
      <c r="J370">
        <v>360</v>
      </c>
      <c r="K370">
        <v>1</v>
      </c>
      <c r="L370" t="s">
        <v>646</v>
      </c>
      <c r="M370" t="s">
        <v>633</v>
      </c>
    </row>
    <row r="371" spans="1:13" x14ac:dyDescent="0.3">
      <c r="A371" t="s">
        <v>1152</v>
      </c>
      <c r="B371" t="s">
        <v>629</v>
      </c>
      <c r="C371" t="s">
        <v>635</v>
      </c>
      <c r="D371">
        <v>2</v>
      </c>
      <c r="E371" t="s">
        <v>631</v>
      </c>
      <c r="F371" t="s">
        <v>630</v>
      </c>
      <c r="G371">
        <v>3283</v>
      </c>
      <c r="H371">
        <v>2035</v>
      </c>
      <c r="I371">
        <v>148</v>
      </c>
      <c r="J371">
        <v>360</v>
      </c>
      <c r="K371">
        <v>1</v>
      </c>
      <c r="L371" t="s">
        <v>632</v>
      </c>
      <c r="M371" t="s">
        <v>633</v>
      </c>
    </row>
    <row r="372" spans="1:13" x14ac:dyDescent="0.3">
      <c r="A372" t="s">
        <v>1153</v>
      </c>
      <c r="B372" t="s">
        <v>629</v>
      </c>
      <c r="C372" t="s">
        <v>635</v>
      </c>
      <c r="D372">
        <v>0</v>
      </c>
      <c r="E372" t="s">
        <v>631</v>
      </c>
      <c r="F372" t="s">
        <v>630</v>
      </c>
      <c r="G372">
        <v>2130</v>
      </c>
      <c r="H372">
        <v>6666</v>
      </c>
      <c r="I372">
        <v>70</v>
      </c>
      <c r="J372">
        <v>180</v>
      </c>
      <c r="K372">
        <v>1</v>
      </c>
      <c r="L372" t="s">
        <v>646</v>
      </c>
      <c r="M372" t="s">
        <v>637</v>
      </c>
    </row>
    <row r="373" spans="1:13" x14ac:dyDescent="0.3">
      <c r="A373" t="s">
        <v>1155</v>
      </c>
      <c r="B373" t="s">
        <v>629</v>
      </c>
      <c r="C373" t="s">
        <v>635</v>
      </c>
      <c r="D373" t="s">
        <v>645</v>
      </c>
      <c r="E373" t="s">
        <v>631</v>
      </c>
      <c r="F373" t="s">
        <v>630</v>
      </c>
      <c r="G373">
        <v>3466</v>
      </c>
      <c r="H373">
        <v>3428</v>
      </c>
      <c r="I373">
        <v>150</v>
      </c>
      <c r="J373">
        <v>360</v>
      </c>
      <c r="K373">
        <v>1</v>
      </c>
      <c r="L373" t="s">
        <v>636</v>
      </c>
      <c r="M373" t="s">
        <v>633</v>
      </c>
    </row>
    <row r="374" spans="1:13" x14ac:dyDescent="0.3">
      <c r="A374" t="s">
        <v>1156</v>
      </c>
      <c r="B374" t="s">
        <v>657</v>
      </c>
      <c r="C374" t="s">
        <v>635</v>
      </c>
      <c r="D374">
        <v>2</v>
      </c>
      <c r="E374" t="s">
        <v>631</v>
      </c>
      <c r="F374" t="s">
        <v>630</v>
      </c>
      <c r="G374">
        <v>2031</v>
      </c>
      <c r="H374">
        <v>1632</v>
      </c>
      <c r="I374">
        <v>113</v>
      </c>
      <c r="J374">
        <v>480</v>
      </c>
      <c r="K374">
        <v>1</v>
      </c>
      <c r="L374" t="s">
        <v>646</v>
      </c>
      <c r="M374" t="s">
        <v>633</v>
      </c>
    </row>
    <row r="375" spans="1:13" x14ac:dyDescent="0.3">
      <c r="A375" t="s">
        <v>1158</v>
      </c>
      <c r="B375" t="s">
        <v>629</v>
      </c>
      <c r="C375" t="s">
        <v>630</v>
      </c>
      <c r="D375">
        <v>0</v>
      </c>
      <c r="E375" t="s">
        <v>631</v>
      </c>
      <c r="F375" t="s">
        <v>630</v>
      </c>
      <c r="G375">
        <v>4683</v>
      </c>
      <c r="H375">
        <v>1915</v>
      </c>
      <c r="I375">
        <v>185</v>
      </c>
      <c r="J375">
        <v>360</v>
      </c>
      <c r="K375">
        <v>1</v>
      </c>
      <c r="L375" t="s">
        <v>646</v>
      </c>
      <c r="M375" t="s">
        <v>637</v>
      </c>
    </row>
    <row r="376" spans="1:13" x14ac:dyDescent="0.3">
      <c r="A376" t="s">
        <v>1159</v>
      </c>
      <c r="B376" t="s">
        <v>657</v>
      </c>
      <c r="C376" t="s">
        <v>630</v>
      </c>
      <c r="D376">
        <v>0</v>
      </c>
      <c r="E376" t="s">
        <v>640</v>
      </c>
      <c r="F376" t="s">
        <v>630</v>
      </c>
      <c r="G376">
        <v>3400</v>
      </c>
      <c r="H376">
        <v>0</v>
      </c>
      <c r="I376">
        <v>95</v>
      </c>
      <c r="J376">
        <v>360</v>
      </c>
      <c r="K376">
        <v>1</v>
      </c>
      <c r="L376" t="s">
        <v>636</v>
      </c>
      <c r="M376" t="s">
        <v>637</v>
      </c>
    </row>
    <row r="377" spans="1:13" x14ac:dyDescent="0.3">
      <c r="A377" t="s">
        <v>1160</v>
      </c>
      <c r="B377" t="s">
        <v>629</v>
      </c>
      <c r="C377" t="s">
        <v>635</v>
      </c>
      <c r="D377">
        <v>2</v>
      </c>
      <c r="E377" t="s">
        <v>640</v>
      </c>
      <c r="F377" t="s">
        <v>630</v>
      </c>
      <c r="G377">
        <v>2192</v>
      </c>
      <c r="H377">
        <v>1742</v>
      </c>
      <c r="I377">
        <v>45</v>
      </c>
      <c r="J377">
        <v>360</v>
      </c>
      <c r="K377">
        <v>1</v>
      </c>
      <c r="L377" t="s">
        <v>646</v>
      </c>
      <c r="M377" t="s">
        <v>633</v>
      </c>
    </row>
    <row r="378" spans="1:13" x14ac:dyDescent="0.3">
      <c r="A378" t="s">
        <v>1161</v>
      </c>
      <c r="B378" t="s">
        <v>629</v>
      </c>
      <c r="C378" t="s">
        <v>630</v>
      </c>
      <c r="D378">
        <v>0</v>
      </c>
      <c r="E378" t="s">
        <v>631</v>
      </c>
      <c r="F378" t="s">
        <v>630</v>
      </c>
      <c r="G378">
        <v>2500</v>
      </c>
      <c r="H378">
        <v>0</v>
      </c>
      <c r="I378">
        <v>55</v>
      </c>
      <c r="J378">
        <v>360</v>
      </c>
      <c r="K378">
        <v>1</v>
      </c>
      <c r="L378" t="s">
        <v>646</v>
      </c>
      <c r="M378" t="s">
        <v>633</v>
      </c>
    </row>
    <row r="379" spans="1:13" x14ac:dyDescent="0.3">
      <c r="A379" t="s">
        <v>1162</v>
      </c>
      <c r="B379" t="s">
        <v>629</v>
      </c>
      <c r="C379" t="s">
        <v>635</v>
      </c>
      <c r="D379" t="s">
        <v>645</v>
      </c>
      <c r="E379" t="s">
        <v>631</v>
      </c>
      <c r="F379" t="s">
        <v>635</v>
      </c>
      <c r="G379">
        <v>5677</v>
      </c>
      <c r="H379">
        <v>1424</v>
      </c>
      <c r="I379">
        <v>100</v>
      </c>
      <c r="J379">
        <v>360</v>
      </c>
      <c r="K379">
        <v>1</v>
      </c>
      <c r="L379" t="s">
        <v>636</v>
      </c>
      <c r="M379" t="s">
        <v>633</v>
      </c>
    </row>
    <row r="380" spans="1:13" x14ac:dyDescent="0.3">
      <c r="A380" t="s">
        <v>1166</v>
      </c>
      <c r="B380" t="s">
        <v>629</v>
      </c>
      <c r="C380" t="s">
        <v>635</v>
      </c>
      <c r="D380">
        <v>0</v>
      </c>
      <c r="E380" t="s">
        <v>631</v>
      </c>
      <c r="F380" t="s">
        <v>630</v>
      </c>
      <c r="G380">
        <v>3775</v>
      </c>
      <c r="H380">
        <v>0</v>
      </c>
      <c r="I380">
        <v>110</v>
      </c>
      <c r="J380">
        <v>360</v>
      </c>
      <c r="K380">
        <v>1</v>
      </c>
      <c r="L380" t="s">
        <v>646</v>
      </c>
      <c r="M380" t="s">
        <v>633</v>
      </c>
    </row>
    <row r="381" spans="1:13" x14ac:dyDescent="0.3">
      <c r="A381" t="s">
        <v>1167</v>
      </c>
      <c r="B381" t="s">
        <v>629</v>
      </c>
      <c r="C381" t="s">
        <v>635</v>
      </c>
      <c r="D381">
        <v>1</v>
      </c>
      <c r="E381" t="s">
        <v>640</v>
      </c>
      <c r="F381" t="s">
        <v>630</v>
      </c>
      <c r="G381">
        <v>5285</v>
      </c>
      <c r="H381">
        <v>1430</v>
      </c>
      <c r="I381">
        <v>161</v>
      </c>
      <c r="J381">
        <v>360</v>
      </c>
      <c r="K381">
        <v>0</v>
      </c>
      <c r="L381" t="s">
        <v>646</v>
      </c>
      <c r="M381" t="s">
        <v>633</v>
      </c>
    </row>
    <row r="382" spans="1:13" x14ac:dyDescent="0.3">
      <c r="A382" t="s">
        <v>1168</v>
      </c>
      <c r="B382" t="s">
        <v>629</v>
      </c>
      <c r="C382" t="s">
        <v>630</v>
      </c>
      <c r="D382">
        <v>1</v>
      </c>
      <c r="E382" t="s">
        <v>640</v>
      </c>
      <c r="F382" t="s">
        <v>630</v>
      </c>
      <c r="G382">
        <v>2679</v>
      </c>
      <c r="H382">
        <v>1302</v>
      </c>
      <c r="I382">
        <v>94</v>
      </c>
      <c r="J382">
        <v>360</v>
      </c>
      <c r="K382">
        <v>1</v>
      </c>
      <c r="L382" t="s">
        <v>646</v>
      </c>
      <c r="M382" t="s">
        <v>633</v>
      </c>
    </row>
    <row r="383" spans="1:13" x14ac:dyDescent="0.3">
      <c r="A383" t="s">
        <v>1169</v>
      </c>
      <c r="B383" t="s">
        <v>629</v>
      </c>
      <c r="C383" t="s">
        <v>630</v>
      </c>
      <c r="D383">
        <v>0</v>
      </c>
      <c r="E383" t="s">
        <v>640</v>
      </c>
      <c r="F383" t="s">
        <v>630</v>
      </c>
      <c r="G383">
        <v>6783</v>
      </c>
      <c r="H383">
        <v>0</v>
      </c>
      <c r="I383">
        <v>130</v>
      </c>
      <c r="J383">
        <v>360</v>
      </c>
      <c r="K383">
        <v>1</v>
      </c>
      <c r="L383" t="s">
        <v>646</v>
      </c>
      <c r="M383" t="s">
        <v>633</v>
      </c>
    </row>
    <row r="384" spans="1:13" x14ac:dyDescent="0.3">
      <c r="A384" t="s">
        <v>1171</v>
      </c>
      <c r="B384" t="s">
        <v>629</v>
      </c>
      <c r="C384" t="s">
        <v>635</v>
      </c>
      <c r="D384" t="s">
        <v>645</v>
      </c>
      <c r="E384" t="s">
        <v>631</v>
      </c>
      <c r="F384" t="s">
        <v>630</v>
      </c>
      <c r="G384">
        <v>4281</v>
      </c>
      <c r="H384">
        <v>0</v>
      </c>
      <c r="I384">
        <v>100</v>
      </c>
      <c r="J384">
        <v>360</v>
      </c>
      <c r="K384">
        <v>1</v>
      </c>
      <c r="L384" t="s">
        <v>632</v>
      </c>
      <c r="M384" t="s">
        <v>633</v>
      </c>
    </row>
    <row r="385" spans="1:13" x14ac:dyDescent="0.3">
      <c r="A385" t="s">
        <v>1172</v>
      </c>
      <c r="B385" t="s">
        <v>629</v>
      </c>
      <c r="C385" t="s">
        <v>630</v>
      </c>
      <c r="D385">
        <v>2</v>
      </c>
      <c r="E385" t="s">
        <v>631</v>
      </c>
      <c r="F385" t="s">
        <v>630</v>
      </c>
      <c r="G385">
        <v>3588</v>
      </c>
      <c r="H385">
        <v>0</v>
      </c>
      <c r="I385">
        <v>110</v>
      </c>
      <c r="J385">
        <v>360</v>
      </c>
      <c r="K385">
        <v>0</v>
      </c>
      <c r="L385" t="s">
        <v>636</v>
      </c>
      <c r="M385" t="s">
        <v>637</v>
      </c>
    </row>
    <row r="386" spans="1:13" x14ac:dyDescent="0.3">
      <c r="A386" t="s">
        <v>1174</v>
      </c>
      <c r="B386" t="s">
        <v>657</v>
      </c>
      <c r="C386" t="s">
        <v>630</v>
      </c>
      <c r="D386">
        <v>0</v>
      </c>
      <c r="E386" t="s">
        <v>640</v>
      </c>
      <c r="F386" t="s">
        <v>635</v>
      </c>
      <c r="G386">
        <v>18165</v>
      </c>
      <c r="H386">
        <v>0</v>
      </c>
      <c r="I386">
        <v>125</v>
      </c>
      <c r="J386">
        <v>360</v>
      </c>
      <c r="K386">
        <v>1</v>
      </c>
      <c r="L386" t="s">
        <v>632</v>
      </c>
      <c r="M386" t="s">
        <v>633</v>
      </c>
    </row>
    <row r="387" spans="1:13" x14ac:dyDescent="0.3">
      <c r="A387" t="s">
        <v>1177</v>
      </c>
      <c r="B387" t="s">
        <v>629</v>
      </c>
      <c r="C387" t="s">
        <v>630</v>
      </c>
      <c r="D387">
        <v>2</v>
      </c>
      <c r="E387" t="s">
        <v>631</v>
      </c>
      <c r="F387" t="s">
        <v>630</v>
      </c>
      <c r="G387">
        <v>3617</v>
      </c>
      <c r="H387">
        <v>0</v>
      </c>
      <c r="I387">
        <v>107</v>
      </c>
      <c r="J387">
        <v>360</v>
      </c>
      <c r="K387">
        <v>1</v>
      </c>
      <c r="L387" t="s">
        <v>646</v>
      </c>
      <c r="M387" t="s">
        <v>633</v>
      </c>
    </row>
    <row r="388" spans="1:13" x14ac:dyDescent="0.3">
      <c r="A388" t="s">
        <v>1178</v>
      </c>
      <c r="B388" t="s">
        <v>629</v>
      </c>
      <c r="C388" t="s">
        <v>635</v>
      </c>
      <c r="D388">
        <v>0</v>
      </c>
      <c r="E388" t="s">
        <v>640</v>
      </c>
      <c r="F388" t="s">
        <v>630</v>
      </c>
      <c r="G388">
        <v>2917</v>
      </c>
      <c r="H388">
        <v>536</v>
      </c>
      <c r="I388">
        <v>66</v>
      </c>
      <c r="J388">
        <v>360</v>
      </c>
      <c r="K388">
        <v>1</v>
      </c>
      <c r="L388" t="s">
        <v>636</v>
      </c>
      <c r="M388" t="s">
        <v>637</v>
      </c>
    </row>
    <row r="389" spans="1:13" x14ac:dyDescent="0.3">
      <c r="A389" t="s">
        <v>1179</v>
      </c>
      <c r="B389" t="s">
        <v>629</v>
      </c>
      <c r="C389" t="s">
        <v>635</v>
      </c>
      <c r="D389" t="s">
        <v>645</v>
      </c>
      <c r="E389" t="s">
        <v>631</v>
      </c>
      <c r="F389" t="s">
        <v>630</v>
      </c>
      <c r="G389">
        <v>6417</v>
      </c>
      <c r="H389">
        <v>0</v>
      </c>
      <c r="I389">
        <v>157</v>
      </c>
      <c r="J389">
        <v>180</v>
      </c>
      <c r="K389">
        <v>1</v>
      </c>
      <c r="L389" t="s">
        <v>636</v>
      </c>
      <c r="M389" t="s">
        <v>633</v>
      </c>
    </row>
    <row r="390" spans="1:13" x14ac:dyDescent="0.3">
      <c r="A390" t="s">
        <v>1180</v>
      </c>
      <c r="B390" t="s">
        <v>657</v>
      </c>
      <c r="C390" t="s">
        <v>635</v>
      </c>
      <c r="D390">
        <v>1</v>
      </c>
      <c r="E390" t="s">
        <v>631</v>
      </c>
      <c r="F390" t="s">
        <v>630</v>
      </c>
      <c r="G390">
        <v>4608</v>
      </c>
      <c r="H390">
        <v>2845</v>
      </c>
      <c r="I390">
        <v>140</v>
      </c>
      <c r="J390">
        <v>180</v>
      </c>
      <c r="K390">
        <v>1</v>
      </c>
      <c r="L390" t="s">
        <v>646</v>
      </c>
      <c r="M390" t="s">
        <v>633</v>
      </c>
    </row>
    <row r="391" spans="1:13" x14ac:dyDescent="0.3">
      <c r="A391" t="s">
        <v>1181</v>
      </c>
      <c r="B391" t="s">
        <v>657</v>
      </c>
      <c r="C391" t="s">
        <v>630</v>
      </c>
      <c r="D391">
        <v>0</v>
      </c>
      <c r="E391" t="s">
        <v>631</v>
      </c>
      <c r="F391" t="s">
        <v>630</v>
      </c>
      <c r="G391">
        <v>2138</v>
      </c>
      <c r="H391">
        <v>0</v>
      </c>
      <c r="I391">
        <v>99</v>
      </c>
      <c r="J391">
        <v>360</v>
      </c>
      <c r="K391">
        <v>0</v>
      </c>
      <c r="L391" t="s">
        <v>646</v>
      </c>
      <c r="M391" t="s">
        <v>637</v>
      </c>
    </row>
    <row r="392" spans="1:13" x14ac:dyDescent="0.3">
      <c r="A392" t="s">
        <v>1183</v>
      </c>
      <c r="B392" t="s">
        <v>629</v>
      </c>
      <c r="C392" t="s">
        <v>635</v>
      </c>
      <c r="D392">
        <v>1</v>
      </c>
      <c r="E392" t="s">
        <v>640</v>
      </c>
      <c r="F392" t="s">
        <v>630</v>
      </c>
      <c r="G392">
        <v>2239</v>
      </c>
      <c r="H392">
        <v>2524</v>
      </c>
      <c r="I392">
        <v>128</v>
      </c>
      <c r="J392">
        <v>360</v>
      </c>
      <c r="K392">
        <v>1</v>
      </c>
      <c r="L392" t="s">
        <v>632</v>
      </c>
      <c r="M392" t="s">
        <v>633</v>
      </c>
    </row>
    <row r="393" spans="1:13" x14ac:dyDescent="0.3">
      <c r="A393" t="s">
        <v>1185</v>
      </c>
      <c r="B393" t="s">
        <v>629</v>
      </c>
      <c r="C393" t="s">
        <v>635</v>
      </c>
      <c r="D393">
        <v>0</v>
      </c>
      <c r="E393" t="s">
        <v>631</v>
      </c>
      <c r="F393" t="s">
        <v>630</v>
      </c>
      <c r="G393">
        <v>2768</v>
      </c>
      <c r="H393">
        <v>1950</v>
      </c>
      <c r="I393">
        <v>155</v>
      </c>
      <c r="J393">
        <v>360</v>
      </c>
      <c r="K393">
        <v>1</v>
      </c>
      <c r="L393" t="s">
        <v>636</v>
      </c>
      <c r="M393" t="s">
        <v>633</v>
      </c>
    </row>
    <row r="394" spans="1:13" x14ac:dyDescent="0.3">
      <c r="A394" t="s">
        <v>1186</v>
      </c>
      <c r="B394" t="s">
        <v>629</v>
      </c>
      <c r="C394" t="s">
        <v>630</v>
      </c>
      <c r="D394">
        <v>0</v>
      </c>
      <c r="E394" t="s">
        <v>640</v>
      </c>
      <c r="F394" t="s">
        <v>630</v>
      </c>
      <c r="G394">
        <v>3358</v>
      </c>
      <c r="H394">
        <v>0</v>
      </c>
      <c r="I394">
        <v>80</v>
      </c>
      <c r="J394">
        <v>36</v>
      </c>
      <c r="K394">
        <v>1</v>
      </c>
      <c r="L394" t="s">
        <v>646</v>
      </c>
      <c r="M394" t="s">
        <v>637</v>
      </c>
    </row>
    <row r="395" spans="1:13" x14ac:dyDescent="0.3">
      <c r="A395" t="s">
        <v>1187</v>
      </c>
      <c r="B395" t="s">
        <v>629</v>
      </c>
      <c r="C395" t="s">
        <v>630</v>
      </c>
      <c r="D395">
        <v>0</v>
      </c>
      <c r="E395" t="s">
        <v>631</v>
      </c>
      <c r="F395" t="s">
        <v>630</v>
      </c>
      <c r="G395">
        <v>2526</v>
      </c>
      <c r="H395">
        <v>1783</v>
      </c>
      <c r="I395">
        <v>145</v>
      </c>
      <c r="J395">
        <v>360</v>
      </c>
      <c r="K395">
        <v>1</v>
      </c>
      <c r="L395" t="s">
        <v>636</v>
      </c>
      <c r="M395" t="s">
        <v>633</v>
      </c>
    </row>
    <row r="396" spans="1:13" x14ac:dyDescent="0.3">
      <c r="A396" t="s">
        <v>1188</v>
      </c>
      <c r="B396" t="s">
        <v>657</v>
      </c>
      <c r="C396" t="s">
        <v>630</v>
      </c>
      <c r="D396">
        <v>0</v>
      </c>
      <c r="E396" t="s">
        <v>631</v>
      </c>
      <c r="F396" t="s">
        <v>630</v>
      </c>
      <c r="G396">
        <v>5000</v>
      </c>
      <c r="H396">
        <v>0</v>
      </c>
      <c r="I396">
        <v>103</v>
      </c>
      <c r="J396">
        <v>360</v>
      </c>
      <c r="K396">
        <v>0</v>
      </c>
      <c r="L396" t="s">
        <v>646</v>
      </c>
      <c r="M396" t="s">
        <v>637</v>
      </c>
    </row>
    <row r="397" spans="1:13" x14ac:dyDescent="0.3">
      <c r="A397" t="s">
        <v>1189</v>
      </c>
      <c r="B397" t="s">
        <v>629</v>
      </c>
      <c r="C397" t="s">
        <v>635</v>
      </c>
      <c r="D397">
        <v>0</v>
      </c>
      <c r="E397" t="s">
        <v>631</v>
      </c>
      <c r="F397" t="s">
        <v>630</v>
      </c>
      <c r="G397">
        <v>2785</v>
      </c>
      <c r="H397">
        <v>2016</v>
      </c>
      <c r="I397">
        <v>110</v>
      </c>
      <c r="J397">
        <v>360</v>
      </c>
      <c r="K397">
        <v>1</v>
      </c>
      <c r="L397" t="s">
        <v>636</v>
      </c>
      <c r="M397" t="s">
        <v>633</v>
      </c>
    </row>
    <row r="398" spans="1:13" x14ac:dyDescent="0.3">
      <c r="A398" t="s">
        <v>1192</v>
      </c>
      <c r="B398" t="s">
        <v>629</v>
      </c>
      <c r="C398" t="s">
        <v>635</v>
      </c>
      <c r="D398">
        <v>1</v>
      </c>
      <c r="E398" t="s">
        <v>631</v>
      </c>
      <c r="F398" t="s">
        <v>630</v>
      </c>
      <c r="G398">
        <v>3333</v>
      </c>
      <c r="H398">
        <v>3250</v>
      </c>
      <c r="I398">
        <v>158</v>
      </c>
      <c r="J398">
        <v>360</v>
      </c>
      <c r="K398">
        <v>1</v>
      </c>
      <c r="L398" t="s">
        <v>632</v>
      </c>
      <c r="M398" t="s">
        <v>633</v>
      </c>
    </row>
    <row r="399" spans="1:13" x14ac:dyDescent="0.3">
      <c r="A399" t="s">
        <v>1193</v>
      </c>
      <c r="B399" t="s">
        <v>629</v>
      </c>
      <c r="C399" t="s">
        <v>635</v>
      </c>
      <c r="D399">
        <v>0</v>
      </c>
      <c r="E399" t="s">
        <v>640</v>
      </c>
      <c r="F399" t="s">
        <v>630</v>
      </c>
      <c r="G399">
        <v>2454</v>
      </c>
      <c r="H399">
        <v>2333</v>
      </c>
      <c r="I399">
        <v>181</v>
      </c>
      <c r="J399">
        <v>360</v>
      </c>
      <c r="K399">
        <v>0</v>
      </c>
      <c r="L399" t="s">
        <v>632</v>
      </c>
      <c r="M399" t="s">
        <v>637</v>
      </c>
    </row>
    <row r="400" spans="1:13" x14ac:dyDescent="0.3">
      <c r="A400" t="s">
        <v>1194</v>
      </c>
      <c r="B400" t="s">
        <v>629</v>
      </c>
      <c r="C400" t="s">
        <v>635</v>
      </c>
      <c r="D400">
        <v>0</v>
      </c>
      <c r="E400" t="s">
        <v>631</v>
      </c>
      <c r="F400" t="s">
        <v>630</v>
      </c>
      <c r="G400">
        <v>3593</v>
      </c>
      <c r="H400">
        <v>4266</v>
      </c>
      <c r="I400">
        <v>132</v>
      </c>
      <c r="J400">
        <v>180</v>
      </c>
      <c r="K400">
        <v>0</v>
      </c>
      <c r="L400" t="s">
        <v>636</v>
      </c>
      <c r="M400" t="s">
        <v>637</v>
      </c>
    </row>
    <row r="401" spans="1:13" x14ac:dyDescent="0.3">
      <c r="A401" t="s">
        <v>1195</v>
      </c>
      <c r="B401" t="s">
        <v>629</v>
      </c>
      <c r="C401" t="s">
        <v>635</v>
      </c>
      <c r="D401">
        <v>1</v>
      </c>
      <c r="E401" t="s">
        <v>631</v>
      </c>
      <c r="F401" t="s">
        <v>630</v>
      </c>
      <c r="G401">
        <v>5468</v>
      </c>
      <c r="H401">
        <v>1032</v>
      </c>
      <c r="I401">
        <v>26</v>
      </c>
      <c r="J401">
        <v>360</v>
      </c>
      <c r="K401">
        <v>1</v>
      </c>
      <c r="L401" t="s">
        <v>646</v>
      </c>
      <c r="M401" t="s">
        <v>633</v>
      </c>
    </row>
    <row r="402" spans="1:13" x14ac:dyDescent="0.3">
      <c r="A402" t="s">
        <v>1197</v>
      </c>
      <c r="B402" t="s">
        <v>629</v>
      </c>
      <c r="C402" t="s">
        <v>635</v>
      </c>
      <c r="D402" t="s">
        <v>645</v>
      </c>
      <c r="E402" t="s">
        <v>631</v>
      </c>
      <c r="F402" t="s">
        <v>635</v>
      </c>
      <c r="G402">
        <v>10139</v>
      </c>
      <c r="H402">
        <v>0</v>
      </c>
      <c r="I402">
        <v>260</v>
      </c>
      <c r="J402">
        <v>360</v>
      </c>
      <c r="K402">
        <v>1</v>
      </c>
      <c r="L402" t="s">
        <v>646</v>
      </c>
      <c r="M402" t="s">
        <v>633</v>
      </c>
    </row>
    <row r="403" spans="1:13" x14ac:dyDescent="0.3">
      <c r="A403" t="s">
        <v>1198</v>
      </c>
      <c r="B403" t="s">
        <v>629</v>
      </c>
      <c r="C403" t="s">
        <v>635</v>
      </c>
      <c r="D403">
        <v>0</v>
      </c>
      <c r="E403" t="s">
        <v>631</v>
      </c>
      <c r="F403" t="s">
        <v>630</v>
      </c>
      <c r="G403">
        <v>3887</v>
      </c>
      <c r="H403">
        <v>2669</v>
      </c>
      <c r="I403">
        <v>162</v>
      </c>
      <c r="J403">
        <v>360</v>
      </c>
      <c r="K403">
        <v>1</v>
      </c>
      <c r="L403" t="s">
        <v>646</v>
      </c>
      <c r="M403" t="s">
        <v>633</v>
      </c>
    </row>
    <row r="404" spans="1:13" x14ac:dyDescent="0.3">
      <c r="A404" t="s">
        <v>1199</v>
      </c>
      <c r="B404" t="s">
        <v>657</v>
      </c>
      <c r="C404" t="s">
        <v>635</v>
      </c>
      <c r="D404">
        <v>0</v>
      </c>
      <c r="E404" t="s">
        <v>631</v>
      </c>
      <c r="F404" t="s">
        <v>630</v>
      </c>
      <c r="G404">
        <v>4180</v>
      </c>
      <c r="H404">
        <v>2306</v>
      </c>
      <c r="I404">
        <v>182</v>
      </c>
      <c r="J404">
        <v>360</v>
      </c>
      <c r="K404">
        <v>1</v>
      </c>
      <c r="L404" t="s">
        <v>646</v>
      </c>
      <c r="M404" t="s">
        <v>633</v>
      </c>
    </row>
    <row r="405" spans="1:13" x14ac:dyDescent="0.3">
      <c r="A405" t="s">
        <v>1200</v>
      </c>
      <c r="B405" t="s">
        <v>629</v>
      </c>
      <c r="C405" t="s">
        <v>635</v>
      </c>
      <c r="D405">
        <v>2</v>
      </c>
      <c r="E405" t="s">
        <v>640</v>
      </c>
      <c r="F405" t="s">
        <v>630</v>
      </c>
      <c r="G405">
        <v>3675</v>
      </c>
      <c r="H405">
        <v>242</v>
      </c>
      <c r="I405">
        <v>108</v>
      </c>
      <c r="J405">
        <v>360</v>
      </c>
      <c r="K405">
        <v>1</v>
      </c>
      <c r="L405" t="s">
        <v>646</v>
      </c>
      <c r="M405" t="s">
        <v>633</v>
      </c>
    </row>
    <row r="406" spans="1:13" x14ac:dyDescent="0.3">
      <c r="A406" t="s">
        <v>1202</v>
      </c>
      <c r="B406" t="s">
        <v>629</v>
      </c>
      <c r="C406" t="s">
        <v>635</v>
      </c>
      <c r="D406">
        <v>0</v>
      </c>
      <c r="E406" t="s">
        <v>631</v>
      </c>
      <c r="F406" t="s">
        <v>630</v>
      </c>
      <c r="G406">
        <v>5923</v>
      </c>
      <c r="H406">
        <v>2054</v>
      </c>
      <c r="I406">
        <v>211</v>
      </c>
      <c r="J406">
        <v>360</v>
      </c>
      <c r="K406">
        <v>1</v>
      </c>
      <c r="L406" t="s">
        <v>636</v>
      </c>
      <c r="M406" t="s">
        <v>633</v>
      </c>
    </row>
    <row r="407" spans="1:13" x14ac:dyDescent="0.3">
      <c r="A407" t="s">
        <v>1203</v>
      </c>
      <c r="B407" t="s">
        <v>629</v>
      </c>
      <c r="C407" t="s">
        <v>630</v>
      </c>
      <c r="D407">
        <v>0</v>
      </c>
      <c r="E407" t="s">
        <v>640</v>
      </c>
      <c r="F407" t="s">
        <v>635</v>
      </c>
      <c r="G407">
        <v>5800</v>
      </c>
      <c r="H407">
        <v>0</v>
      </c>
      <c r="I407">
        <v>132</v>
      </c>
      <c r="J407">
        <v>360</v>
      </c>
      <c r="K407">
        <v>1</v>
      </c>
      <c r="L407" t="s">
        <v>646</v>
      </c>
      <c r="M407" t="s">
        <v>633</v>
      </c>
    </row>
    <row r="408" spans="1:13" x14ac:dyDescent="0.3">
      <c r="A408" t="s">
        <v>1204</v>
      </c>
      <c r="B408" t="s">
        <v>629</v>
      </c>
      <c r="C408" t="s">
        <v>635</v>
      </c>
      <c r="D408">
        <v>2</v>
      </c>
      <c r="E408" t="s">
        <v>631</v>
      </c>
      <c r="F408" t="s">
        <v>630</v>
      </c>
      <c r="G408">
        <v>8799</v>
      </c>
      <c r="H408">
        <v>0</v>
      </c>
      <c r="I408">
        <v>258</v>
      </c>
      <c r="J408">
        <v>360</v>
      </c>
      <c r="K408">
        <v>0</v>
      </c>
      <c r="L408" t="s">
        <v>632</v>
      </c>
      <c r="M408" t="s">
        <v>637</v>
      </c>
    </row>
    <row r="409" spans="1:13" x14ac:dyDescent="0.3">
      <c r="A409" t="s">
        <v>1206</v>
      </c>
      <c r="B409" t="s">
        <v>629</v>
      </c>
      <c r="C409" t="s">
        <v>630</v>
      </c>
      <c r="D409">
        <v>0</v>
      </c>
      <c r="E409" t="s">
        <v>631</v>
      </c>
      <c r="F409" t="s">
        <v>630</v>
      </c>
      <c r="G409">
        <v>3333</v>
      </c>
      <c r="H409">
        <v>0</v>
      </c>
      <c r="I409">
        <v>70</v>
      </c>
      <c r="J409">
        <v>360</v>
      </c>
      <c r="K409">
        <v>1</v>
      </c>
      <c r="L409" t="s">
        <v>632</v>
      </c>
      <c r="M409" t="s">
        <v>633</v>
      </c>
    </row>
    <row r="410" spans="1:13" x14ac:dyDescent="0.3">
      <c r="A410" t="s">
        <v>1207</v>
      </c>
      <c r="B410" t="s">
        <v>629</v>
      </c>
      <c r="C410" t="s">
        <v>635</v>
      </c>
      <c r="D410" t="s">
        <v>645</v>
      </c>
      <c r="E410" t="s">
        <v>631</v>
      </c>
      <c r="F410" t="s">
        <v>630</v>
      </c>
      <c r="G410">
        <v>3400</v>
      </c>
      <c r="H410">
        <v>2500</v>
      </c>
      <c r="I410">
        <v>123</v>
      </c>
      <c r="J410">
        <v>360</v>
      </c>
      <c r="K410">
        <v>0</v>
      </c>
      <c r="L410" t="s">
        <v>636</v>
      </c>
      <c r="M410" t="s">
        <v>637</v>
      </c>
    </row>
    <row r="411" spans="1:13" x14ac:dyDescent="0.3">
      <c r="A411" t="s">
        <v>1208</v>
      </c>
      <c r="B411" t="s">
        <v>657</v>
      </c>
      <c r="C411" t="s">
        <v>630</v>
      </c>
      <c r="D411">
        <v>0</v>
      </c>
      <c r="E411" t="s">
        <v>631</v>
      </c>
      <c r="F411" t="s">
        <v>630</v>
      </c>
      <c r="G411">
        <v>2378</v>
      </c>
      <c r="H411">
        <v>0</v>
      </c>
      <c r="I411">
        <v>9</v>
      </c>
      <c r="J411">
        <v>360</v>
      </c>
      <c r="K411">
        <v>1</v>
      </c>
      <c r="L411" t="s">
        <v>632</v>
      </c>
      <c r="M411" t="s">
        <v>637</v>
      </c>
    </row>
    <row r="412" spans="1:13" x14ac:dyDescent="0.3">
      <c r="A412" t="s">
        <v>1209</v>
      </c>
      <c r="B412" t="s">
        <v>629</v>
      </c>
      <c r="C412" t="s">
        <v>635</v>
      </c>
      <c r="D412">
        <v>0</v>
      </c>
      <c r="E412" t="s">
        <v>631</v>
      </c>
      <c r="F412" t="s">
        <v>630</v>
      </c>
      <c r="G412">
        <v>3166</v>
      </c>
      <c r="H412">
        <v>2064</v>
      </c>
      <c r="I412">
        <v>104</v>
      </c>
      <c r="J412">
        <v>360</v>
      </c>
      <c r="K412">
        <v>0</v>
      </c>
      <c r="L412" t="s">
        <v>632</v>
      </c>
      <c r="M412" t="s">
        <v>637</v>
      </c>
    </row>
    <row r="413" spans="1:13" x14ac:dyDescent="0.3">
      <c r="A413" t="s">
        <v>1210</v>
      </c>
      <c r="B413" t="s">
        <v>629</v>
      </c>
      <c r="C413" t="s">
        <v>635</v>
      </c>
      <c r="D413">
        <v>1</v>
      </c>
      <c r="E413" t="s">
        <v>631</v>
      </c>
      <c r="F413" t="s">
        <v>630</v>
      </c>
      <c r="G413">
        <v>3417</v>
      </c>
      <c r="H413">
        <v>1750</v>
      </c>
      <c r="I413">
        <v>186</v>
      </c>
      <c r="J413">
        <v>360</v>
      </c>
      <c r="K413">
        <v>1</v>
      </c>
      <c r="L413" t="s">
        <v>632</v>
      </c>
      <c r="M413" t="s">
        <v>633</v>
      </c>
    </row>
    <row r="414" spans="1:13" x14ac:dyDescent="0.3">
      <c r="A414" t="s">
        <v>1212</v>
      </c>
      <c r="B414" t="s">
        <v>629</v>
      </c>
      <c r="C414" t="s">
        <v>635</v>
      </c>
      <c r="D414">
        <v>2</v>
      </c>
      <c r="E414" t="s">
        <v>631</v>
      </c>
      <c r="F414" t="s">
        <v>630</v>
      </c>
      <c r="G414">
        <v>16666</v>
      </c>
      <c r="H414">
        <v>0</v>
      </c>
      <c r="I414">
        <v>275</v>
      </c>
      <c r="J414">
        <v>360</v>
      </c>
      <c r="K414">
        <v>1</v>
      </c>
      <c r="L414" t="s">
        <v>632</v>
      </c>
      <c r="M414" t="s">
        <v>633</v>
      </c>
    </row>
    <row r="415" spans="1:13" x14ac:dyDescent="0.3">
      <c r="A415" t="s">
        <v>1213</v>
      </c>
      <c r="B415" t="s">
        <v>629</v>
      </c>
      <c r="C415" t="s">
        <v>635</v>
      </c>
      <c r="D415">
        <v>2</v>
      </c>
      <c r="E415" t="s">
        <v>640</v>
      </c>
      <c r="F415" t="s">
        <v>630</v>
      </c>
      <c r="G415">
        <v>6125</v>
      </c>
      <c r="H415">
        <v>1625</v>
      </c>
      <c r="I415">
        <v>187</v>
      </c>
      <c r="J415">
        <v>480</v>
      </c>
      <c r="K415">
        <v>1</v>
      </c>
      <c r="L415" t="s">
        <v>646</v>
      </c>
      <c r="M415" t="s">
        <v>637</v>
      </c>
    </row>
    <row r="416" spans="1:13" x14ac:dyDescent="0.3">
      <c r="A416" t="s">
        <v>1214</v>
      </c>
      <c r="B416" t="s">
        <v>629</v>
      </c>
      <c r="C416" t="s">
        <v>635</v>
      </c>
      <c r="D416" t="s">
        <v>645</v>
      </c>
      <c r="E416" t="s">
        <v>631</v>
      </c>
      <c r="F416" t="s">
        <v>630</v>
      </c>
      <c r="G416">
        <v>6406</v>
      </c>
      <c r="H416">
        <v>0</v>
      </c>
      <c r="I416">
        <v>150</v>
      </c>
      <c r="J416">
        <v>360</v>
      </c>
      <c r="K416">
        <v>1</v>
      </c>
      <c r="L416" t="s">
        <v>646</v>
      </c>
      <c r="M416" t="s">
        <v>637</v>
      </c>
    </row>
    <row r="417" spans="1:13" x14ac:dyDescent="0.3">
      <c r="A417" t="s">
        <v>1215</v>
      </c>
      <c r="B417" t="s">
        <v>629</v>
      </c>
      <c r="C417" t="s">
        <v>635</v>
      </c>
      <c r="D417">
        <v>2</v>
      </c>
      <c r="E417" t="s">
        <v>631</v>
      </c>
      <c r="F417" t="s">
        <v>630</v>
      </c>
      <c r="G417">
        <v>3159</v>
      </c>
      <c r="H417">
        <v>461</v>
      </c>
      <c r="I417">
        <v>108</v>
      </c>
      <c r="J417">
        <v>84</v>
      </c>
      <c r="K417">
        <v>1</v>
      </c>
      <c r="L417" t="s">
        <v>632</v>
      </c>
      <c r="M417" t="s">
        <v>633</v>
      </c>
    </row>
    <row r="418" spans="1:13" x14ac:dyDescent="0.3">
      <c r="A418" t="s">
        <v>1217</v>
      </c>
      <c r="B418" t="s">
        <v>629</v>
      </c>
      <c r="C418" t="s">
        <v>630</v>
      </c>
      <c r="D418">
        <v>0</v>
      </c>
      <c r="E418" t="s">
        <v>631</v>
      </c>
      <c r="F418" t="s">
        <v>630</v>
      </c>
      <c r="G418">
        <v>3229</v>
      </c>
      <c r="H418">
        <v>2739</v>
      </c>
      <c r="I418">
        <v>110</v>
      </c>
      <c r="J418">
        <v>360</v>
      </c>
      <c r="K418">
        <v>1</v>
      </c>
      <c r="L418" t="s">
        <v>632</v>
      </c>
      <c r="M418" t="s">
        <v>633</v>
      </c>
    </row>
    <row r="419" spans="1:13" x14ac:dyDescent="0.3">
      <c r="A419" t="s">
        <v>1218</v>
      </c>
      <c r="B419" t="s">
        <v>629</v>
      </c>
      <c r="C419" t="s">
        <v>635</v>
      </c>
      <c r="D419">
        <v>1</v>
      </c>
      <c r="E419" t="s">
        <v>631</v>
      </c>
      <c r="F419" t="s">
        <v>630</v>
      </c>
      <c r="G419">
        <v>1782</v>
      </c>
      <c r="H419">
        <v>2232</v>
      </c>
      <c r="I419">
        <v>107</v>
      </c>
      <c r="J419">
        <v>360</v>
      </c>
      <c r="K419">
        <v>1</v>
      </c>
      <c r="L419" t="s">
        <v>636</v>
      </c>
      <c r="M419" t="s">
        <v>633</v>
      </c>
    </row>
    <row r="420" spans="1:13" x14ac:dyDescent="0.3">
      <c r="A420" t="s">
        <v>1220</v>
      </c>
      <c r="B420" t="s">
        <v>629</v>
      </c>
      <c r="C420" t="s">
        <v>635</v>
      </c>
      <c r="D420">
        <v>2</v>
      </c>
      <c r="E420" t="s">
        <v>631</v>
      </c>
      <c r="F420" t="s">
        <v>630</v>
      </c>
      <c r="G420">
        <v>6540</v>
      </c>
      <c r="H420">
        <v>0</v>
      </c>
      <c r="I420">
        <v>205</v>
      </c>
      <c r="J420">
        <v>360</v>
      </c>
      <c r="K420">
        <v>1</v>
      </c>
      <c r="L420" t="s">
        <v>646</v>
      </c>
      <c r="M420" t="s">
        <v>633</v>
      </c>
    </row>
    <row r="421" spans="1:13" x14ac:dyDescent="0.3">
      <c r="A421" t="s">
        <v>1221</v>
      </c>
      <c r="B421" t="s">
        <v>629</v>
      </c>
      <c r="C421" t="s">
        <v>630</v>
      </c>
      <c r="D421">
        <v>0</v>
      </c>
      <c r="E421" t="s">
        <v>631</v>
      </c>
      <c r="F421" t="s">
        <v>630</v>
      </c>
      <c r="G421">
        <v>1836</v>
      </c>
      <c r="H421">
        <v>33837</v>
      </c>
      <c r="I421">
        <v>90</v>
      </c>
      <c r="J421">
        <v>360</v>
      </c>
      <c r="K421">
        <v>1</v>
      </c>
      <c r="L421" t="s">
        <v>632</v>
      </c>
      <c r="M421" t="s">
        <v>637</v>
      </c>
    </row>
    <row r="422" spans="1:13" x14ac:dyDescent="0.3">
      <c r="A422" t="s">
        <v>1222</v>
      </c>
      <c r="B422" t="s">
        <v>657</v>
      </c>
      <c r="C422" t="s">
        <v>635</v>
      </c>
      <c r="D422">
        <v>0</v>
      </c>
      <c r="E422" t="s">
        <v>631</v>
      </c>
      <c r="F422" t="s">
        <v>630</v>
      </c>
      <c r="G422">
        <v>3166</v>
      </c>
      <c r="H422">
        <v>0</v>
      </c>
      <c r="I422">
        <v>36</v>
      </c>
      <c r="J422">
        <v>360</v>
      </c>
      <c r="K422">
        <v>1</v>
      </c>
      <c r="L422" t="s">
        <v>646</v>
      </c>
      <c r="M422" t="s">
        <v>633</v>
      </c>
    </row>
    <row r="423" spans="1:13" x14ac:dyDescent="0.3">
      <c r="A423" t="s">
        <v>1224</v>
      </c>
      <c r="B423" t="s">
        <v>629</v>
      </c>
      <c r="C423" t="s">
        <v>635</v>
      </c>
      <c r="D423">
        <v>1</v>
      </c>
      <c r="E423" t="s">
        <v>631</v>
      </c>
      <c r="F423" t="s">
        <v>630</v>
      </c>
      <c r="G423">
        <v>2787</v>
      </c>
      <c r="H423">
        <v>1917</v>
      </c>
      <c r="I423">
        <v>146</v>
      </c>
      <c r="J423">
        <v>360</v>
      </c>
      <c r="K423">
        <v>0</v>
      </c>
      <c r="L423" t="s">
        <v>636</v>
      </c>
      <c r="M423" t="s">
        <v>637</v>
      </c>
    </row>
    <row r="424" spans="1:13" x14ac:dyDescent="0.3">
      <c r="A424" t="s">
        <v>1225</v>
      </c>
      <c r="B424" t="s">
        <v>629</v>
      </c>
      <c r="C424" t="s">
        <v>635</v>
      </c>
      <c r="D424">
        <v>1</v>
      </c>
      <c r="E424" t="s">
        <v>631</v>
      </c>
      <c r="F424" t="s">
        <v>630</v>
      </c>
      <c r="G424">
        <v>4283</v>
      </c>
      <c r="H424">
        <v>3000</v>
      </c>
      <c r="I424">
        <v>172</v>
      </c>
      <c r="J424">
        <v>84</v>
      </c>
      <c r="K424">
        <v>1</v>
      </c>
      <c r="L424" t="s">
        <v>636</v>
      </c>
      <c r="M424" t="s">
        <v>637</v>
      </c>
    </row>
    <row r="425" spans="1:13" x14ac:dyDescent="0.3">
      <c r="A425" t="s">
        <v>1226</v>
      </c>
      <c r="B425" t="s">
        <v>629</v>
      </c>
      <c r="C425" t="s">
        <v>635</v>
      </c>
      <c r="D425">
        <v>0</v>
      </c>
      <c r="E425" t="s">
        <v>631</v>
      </c>
      <c r="F425" t="s">
        <v>630</v>
      </c>
      <c r="G425">
        <v>2297</v>
      </c>
      <c r="H425">
        <v>1522</v>
      </c>
      <c r="I425">
        <v>104</v>
      </c>
      <c r="J425">
        <v>360</v>
      </c>
      <c r="K425">
        <v>1</v>
      </c>
      <c r="L425" t="s">
        <v>632</v>
      </c>
      <c r="M425" t="s">
        <v>633</v>
      </c>
    </row>
    <row r="426" spans="1:13" x14ac:dyDescent="0.3">
      <c r="A426" t="s">
        <v>1227</v>
      </c>
      <c r="B426" t="s">
        <v>657</v>
      </c>
      <c r="C426" t="s">
        <v>630</v>
      </c>
      <c r="D426">
        <v>0</v>
      </c>
      <c r="E426" t="s">
        <v>640</v>
      </c>
      <c r="F426" t="s">
        <v>630</v>
      </c>
      <c r="G426">
        <v>2165</v>
      </c>
      <c r="H426">
        <v>0</v>
      </c>
      <c r="I426">
        <v>70</v>
      </c>
      <c r="J426">
        <v>360</v>
      </c>
      <c r="K426">
        <v>1</v>
      </c>
      <c r="L426" t="s">
        <v>646</v>
      </c>
      <c r="M426" t="s">
        <v>633</v>
      </c>
    </row>
    <row r="427" spans="1:13" x14ac:dyDescent="0.3">
      <c r="A427" t="s">
        <v>1229</v>
      </c>
      <c r="B427" t="s">
        <v>629</v>
      </c>
      <c r="C427" t="s">
        <v>635</v>
      </c>
      <c r="D427">
        <v>2</v>
      </c>
      <c r="E427" t="s">
        <v>631</v>
      </c>
      <c r="F427" t="s">
        <v>635</v>
      </c>
      <c r="G427">
        <v>2726</v>
      </c>
      <c r="H427">
        <v>0</v>
      </c>
      <c r="I427">
        <v>106</v>
      </c>
      <c r="J427">
        <v>360</v>
      </c>
      <c r="K427">
        <v>0</v>
      </c>
      <c r="L427" t="s">
        <v>646</v>
      </c>
      <c r="M427" t="s">
        <v>637</v>
      </c>
    </row>
    <row r="428" spans="1:13" x14ac:dyDescent="0.3">
      <c r="A428" t="s">
        <v>1230</v>
      </c>
      <c r="B428" t="s">
        <v>629</v>
      </c>
      <c r="C428" t="s">
        <v>635</v>
      </c>
      <c r="D428">
        <v>0</v>
      </c>
      <c r="E428" t="s">
        <v>631</v>
      </c>
      <c r="F428" t="s">
        <v>630</v>
      </c>
      <c r="G428">
        <v>3000</v>
      </c>
      <c r="H428">
        <v>3416</v>
      </c>
      <c r="I428">
        <v>56</v>
      </c>
      <c r="J428">
        <v>180</v>
      </c>
      <c r="K428">
        <v>1</v>
      </c>
      <c r="L428" t="s">
        <v>646</v>
      </c>
      <c r="M428" t="s">
        <v>633</v>
      </c>
    </row>
    <row r="429" spans="1:13" x14ac:dyDescent="0.3">
      <c r="A429" t="s">
        <v>1231</v>
      </c>
      <c r="B429" t="s">
        <v>629</v>
      </c>
      <c r="C429" t="s">
        <v>635</v>
      </c>
      <c r="D429">
        <v>2</v>
      </c>
      <c r="E429" t="s">
        <v>631</v>
      </c>
      <c r="F429" t="s">
        <v>635</v>
      </c>
      <c r="G429">
        <v>6000</v>
      </c>
      <c r="H429">
        <v>0</v>
      </c>
      <c r="I429">
        <v>205</v>
      </c>
      <c r="J429">
        <v>240</v>
      </c>
      <c r="K429">
        <v>1</v>
      </c>
      <c r="L429" t="s">
        <v>646</v>
      </c>
      <c r="M429" t="s">
        <v>637</v>
      </c>
    </row>
    <row r="430" spans="1:13" x14ac:dyDescent="0.3">
      <c r="A430" t="s">
        <v>1233</v>
      </c>
      <c r="B430" t="s">
        <v>629</v>
      </c>
      <c r="C430" t="s">
        <v>635</v>
      </c>
      <c r="D430">
        <v>0</v>
      </c>
      <c r="E430" t="s">
        <v>631</v>
      </c>
      <c r="F430" t="s">
        <v>630</v>
      </c>
      <c r="G430">
        <v>3859</v>
      </c>
      <c r="H430">
        <v>3300</v>
      </c>
      <c r="I430">
        <v>142</v>
      </c>
      <c r="J430">
        <v>180</v>
      </c>
      <c r="K430">
        <v>1</v>
      </c>
      <c r="L430" t="s">
        <v>636</v>
      </c>
      <c r="M430" t="s">
        <v>633</v>
      </c>
    </row>
    <row r="431" spans="1:13" x14ac:dyDescent="0.3">
      <c r="A431" t="s">
        <v>1234</v>
      </c>
      <c r="B431" t="s">
        <v>629</v>
      </c>
      <c r="C431" t="s">
        <v>635</v>
      </c>
      <c r="D431">
        <v>0</v>
      </c>
      <c r="E431" t="s">
        <v>631</v>
      </c>
      <c r="F431" t="s">
        <v>635</v>
      </c>
      <c r="G431">
        <v>16120</v>
      </c>
      <c r="H431">
        <v>0</v>
      </c>
      <c r="I431">
        <v>260</v>
      </c>
      <c r="J431">
        <v>360</v>
      </c>
      <c r="K431">
        <v>1</v>
      </c>
      <c r="L431" t="s">
        <v>632</v>
      </c>
      <c r="M431" t="s">
        <v>633</v>
      </c>
    </row>
    <row r="432" spans="1:13" x14ac:dyDescent="0.3">
      <c r="A432" t="s">
        <v>1235</v>
      </c>
      <c r="B432" t="s">
        <v>629</v>
      </c>
      <c r="C432" t="s">
        <v>630</v>
      </c>
      <c r="D432">
        <v>0</v>
      </c>
      <c r="E432" t="s">
        <v>640</v>
      </c>
      <c r="F432" t="s">
        <v>630</v>
      </c>
      <c r="G432">
        <v>3833</v>
      </c>
      <c r="H432">
        <v>0</v>
      </c>
      <c r="I432">
        <v>110</v>
      </c>
      <c r="J432">
        <v>360</v>
      </c>
      <c r="K432">
        <v>1</v>
      </c>
      <c r="L432" t="s">
        <v>636</v>
      </c>
      <c r="M432" t="s">
        <v>633</v>
      </c>
    </row>
    <row r="433" spans="1:13" x14ac:dyDescent="0.3">
      <c r="A433" t="s">
        <v>1236</v>
      </c>
      <c r="B433" t="s">
        <v>629</v>
      </c>
      <c r="C433" t="s">
        <v>635</v>
      </c>
      <c r="D433">
        <v>2</v>
      </c>
      <c r="E433" t="s">
        <v>640</v>
      </c>
      <c r="F433" t="s">
        <v>635</v>
      </c>
      <c r="G433">
        <v>6383</v>
      </c>
      <c r="H433">
        <v>1000</v>
      </c>
      <c r="I433">
        <v>187</v>
      </c>
      <c r="J433">
        <v>360</v>
      </c>
      <c r="K433">
        <v>1</v>
      </c>
      <c r="L433" t="s">
        <v>636</v>
      </c>
      <c r="M433" t="s">
        <v>637</v>
      </c>
    </row>
    <row r="434" spans="1:13" x14ac:dyDescent="0.3">
      <c r="A434" t="s">
        <v>1238</v>
      </c>
      <c r="B434" t="s">
        <v>629</v>
      </c>
      <c r="C434" t="s">
        <v>635</v>
      </c>
      <c r="D434">
        <v>0</v>
      </c>
      <c r="E434" t="s">
        <v>631</v>
      </c>
      <c r="F434" t="s">
        <v>635</v>
      </c>
      <c r="G434">
        <v>9963</v>
      </c>
      <c r="H434">
        <v>0</v>
      </c>
      <c r="I434">
        <v>180</v>
      </c>
      <c r="J434">
        <v>360</v>
      </c>
      <c r="K434">
        <v>1</v>
      </c>
      <c r="L434" t="s">
        <v>636</v>
      </c>
      <c r="M434" t="s">
        <v>633</v>
      </c>
    </row>
    <row r="435" spans="1:13" x14ac:dyDescent="0.3">
      <c r="A435" t="s">
        <v>1239</v>
      </c>
      <c r="B435" t="s">
        <v>629</v>
      </c>
      <c r="C435" t="s">
        <v>635</v>
      </c>
      <c r="D435">
        <v>2</v>
      </c>
      <c r="E435" t="s">
        <v>631</v>
      </c>
      <c r="F435" t="s">
        <v>630</v>
      </c>
      <c r="G435">
        <v>5780</v>
      </c>
      <c r="H435">
        <v>0</v>
      </c>
      <c r="I435">
        <v>192</v>
      </c>
      <c r="J435">
        <v>360</v>
      </c>
      <c r="K435">
        <v>1</v>
      </c>
      <c r="L435" t="s">
        <v>632</v>
      </c>
      <c r="M435" t="s">
        <v>633</v>
      </c>
    </row>
    <row r="436" spans="1:13" x14ac:dyDescent="0.3">
      <c r="A436" t="s">
        <v>1242</v>
      </c>
      <c r="B436" t="s">
        <v>629</v>
      </c>
      <c r="C436" t="s">
        <v>635</v>
      </c>
      <c r="D436" t="s">
        <v>645</v>
      </c>
      <c r="E436" t="s">
        <v>631</v>
      </c>
      <c r="F436" t="s">
        <v>630</v>
      </c>
      <c r="G436">
        <v>5703</v>
      </c>
      <c r="H436">
        <v>0</v>
      </c>
      <c r="I436">
        <v>128</v>
      </c>
      <c r="J436">
        <v>360</v>
      </c>
      <c r="K436">
        <v>1</v>
      </c>
      <c r="L436" t="s">
        <v>632</v>
      </c>
      <c r="M436" t="s">
        <v>633</v>
      </c>
    </row>
    <row r="437" spans="1:13" x14ac:dyDescent="0.3">
      <c r="A437" t="s">
        <v>1243</v>
      </c>
      <c r="B437" t="s">
        <v>629</v>
      </c>
      <c r="C437" t="s">
        <v>630</v>
      </c>
      <c r="D437">
        <v>0</v>
      </c>
      <c r="E437" t="s">
        <v>631</v>
      </c>
      <c r="F437" t="s">
        <v>630</v>
      </c>
      <c r="G437">
        <v>3676</v>
      </c>
      <c r="H437">
        <v>4301</v>
      </c>
      <c r="I437">
        <v>172</v>
      </c>
      <c r="J437">
        <v>360</v>
      </c>
      <c r="K437">
        <v>1</v>
      </c>
      <c r="L437" t="s">
        <v>636</v>
      </c>
      <c r="M437" t="s">
        <v>633</v>
      </c>
    </row>
    <row r="438" spans="1:13" x14ac:dyDescent="0.3">
      <c r="A438" t="s">
        <v>1246</v>
      </c>
      <c r="B438" t="s">
        <v>629</v>
      </c>
      <c r="C438" t="s">
        <v>635</v>
      </c>
      <c r="D438">
        <v>1</v>
      </c>
      <c r="E438" t="s">
        <v>631</v>
      </c>
      <c r="F438" t="s">
        <v>630</v>
      </c>
      <c r="G438">
        <v>3400</v>
      </c>
      <c r="H438">
        <v>2500</v>
      </c>
      <c r="I438">
        <v>173</v>
      </c>
      <c r="J438">
        <v>360</v>
      </c>
      <c r="K438">
        <v>1</v>
      </c>
      <c r="L438" t="s">
        <v>646</v>
      </c>
      <c r="M438" t="s">
        <v>633</v>
      </c>
    </row>
    <row r="439" spans="1:13" x14ac:dyDescent="0.3">
      <c r="A439" t="s">
        <v>1247</v>
      </c>
      <c r="B439" t="s">
        <v>629</v>
      </c>
      <c r="C439" t="s">
        <v>635</v>
      </c>
      <c r="D439">
        <v>2</v>
      </c>
      <c r="E439" t="s">
        <v>640</v>
      </c>
      <c r="F439" t="s">
        <v>630</v>
      </c>
      <c r="G439">
        <v>3987</v>
      </c>
      <c r="H439">
        <v>1411</v>
      </c>
      <c r="I439">
        <v>157</v>
      </c>
      <c r="J439">
        <v>360</v>
      </c>
      <c r="K439">
        <v>1</v>
      </c>
      <c r="L439" t="s">
        <v>636</v>
      </c>
      <c r="M439" t="s">
        <v>633</v>
      </c>
    </row>
    <row r="440" spans="1:13" x14ac:dyDescent="0.3">
      <c r="A440" t="s">
        <v>1248</v>
      </c>
      <c r="B440" t="s">
        <v>629</v>
      </c>
      <c r="C440" t="s">
        <v>635</v>
      </c>
      <c r="D440">
        <v>0</v>
      </c>
      <c r="E440" t="s">
        <v>631</v>
      </c>
      <c r="F440" t="s">
        <v>630</v>
      </c>
      <c r="G440">
        <v>3232</v>
      </c>
      <c r="H440">
        <v>1950</v>
      </c>
      <c r="I440">
        <v>108</v>
      </c>
      <c r="J440">
        <v>360</v>
      </c>
      <c r="K440">
        <v>1</v>
      </c>
      <c r="L440" t="s">
        <v>636</v>
      </c>
      <c r="M440" t="s">
        <v>633</v>
      </c>
    </row>
    <row r="441" spans="1:13" x14ac:dyDescent="0.3">
      <c r="A441" t="s">
        <v>1249</v>
      </c>
      <c r="B441" t="s">
        <v>657</v>
      </c>
      <c r="C441" t="s">
        <v>630</v>
      </c>
      <c r="D441">
        <v>0</v>
      </c>
      <c r="E441" t="s">
        <v>631</v>
      </c>
      <c r="F441" t="s">
        <v>630</v>
      </c>
      <c r="G441">
        <v>2900</v>
      </c>
      <c r="H441">
        <v>0</v>
      </c>
      <c r="I441">
        <v>71</v>
      </c>
      <c r="J441">
        <v>360</v>
      </c>
      <c r="K441">
        <v>1</v>
      </c>
      <c r="L441" t="s">
        <v>636</v>
      </c>
      <c r="M441" t="s">
        <v>633</v>
      </c>
    </row>
    <row r="442" spans="1:13" x14ac:dyDescent="0.3">
      <c r="A442" t="s">
        <v>1250</v>
      </c>
      <c r="B442" t="s">
        <v>629</v>
      </c>
      <c r="C442" t="s">
        <v>635</v>
      </c>
      <c r="D442" t="s">
        <v>645</v>
      </c>
      <c r="E442" t="s">
        <v>631</v>
      </c>
      <c r="F442" t="s">
        <v>630</v>
      </c>
      <c r="G442">
        <v>4106</v>
      </c>
      <c r="H442">
        <v>0</v>
      </c>
      <c r="I442">
        <v>40</v>
      </c>
      <c r="J442">
        <v>180</v>
      </c>
      <c r="K442">
        <v>1</v>
      </c>
      <c r="L442" t="s">
        <v>636</v>
      </c>
      <c r="M442" t="s">
        <v>633</v>
      </c>
    </row>
    <row r="443" spans="1:13" x14ac:dyDescent="0.3">
      <c r="A443" t="s">
        <v>1251</v>
      </c>
      <c r="B443" t="s">
        <v>629</v>
      </c>
      <c r="C443" t="s">
        <v>635</v>
      </c>
      <c r="D443">
        <v>1</v>
      </c>
      <c r="E443" t="s">
        <v>631</v>
      </c>
      <c r="F443" t="s">
        <v>630</v>
      </c>
      <c r="G443">
        <v>8072</v>
      </c>
      <c r="H443">
        <v>240</v>
      </c>
      <c r="I443">
        <v>253</v>
      </c>
      <c r="J443">
        <v>360</v>
      </c>
      <c r="K443">
        <v>1</v>
      </c>
      <c r="L443" t="s">
        <v>632</v>
      </c>
      <c r="M443" t="s">
        <v>633</v>
      </c>
    </row>
    <row r="444" spans="1:13" x14ac:dyDescent="0.3">
      <c r="A444" t="s">
        <v>1252</v>
      </c>
      <c r="B444" t="s">
        <v>629</v>
      </c>
      <c r="C444" t="s">
        <v>635</v>
      </c>
      <c r="D444">
        <v>2</v>
      </c>
      <c r="E444" t="s">
        <v>631</v>
      </c>
      <c r="F444" t="s">
        <v>630</v>
      </c>
      <c r="G444">
        <v>7583</v>
      </c>
      <c r="H444">
        <v>0</v>
      </c>
      <c r="I444">
        <v>187</v>
      </c>
      <c r="J444">
        <v>360</v>
      </c>
      <c r="K444">
        <v>1</v>
      </c>
      <c r="L444" t="s">
        <v>632</v>
      </c>
      <c r="M444" t="s">
        <v>633</v>
      </c>
    </row>
    <row r="445" spans="1:13" x14ac:dyDescent="0.3">
      <c r="A445" t="s">
        <v>1253</v>
      </c>
      <c r="B445" t="s">
        <v>657</v>
      </c>
      <c r="C445" t="s">
        <v>630</v>
      </c>
      <c r="D445">
        <v>0</v>
      </c>
      <c r="E445" t="s">
        <v>631</v>
      </c>
      <c r="F445" t="s">
        <v>635</v>
      </c>
      <c r="G445">
        <v>4583</v>
      </c>
      <c r="H445">
        <v>0</v>
      </c>
      <c r="I445">
        <v>133</v>
      </c>
      <c r="J445">
        <v>360</v>
      </c>
      <c r="K445">
        <v>0</v>
      </c>
      <c r="L445" t="s">
        <v>646</v>
      </c>
      <c r="M445" t="s">
        <v>637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0A37-F019-4CB6-AB12-A5DD1F980462}">
  <dimension ref="A1:N445"/>
  <sheetViews>
    <sheetView workbookViewId="0">
      <selection activeCell="I28" sqref="I28"/>
    </sheetView>
  </sheetViews>
  <sheetFormatPr defaultRowHeight="14.4" x14ac:dyDescent="0.3"/>
  <sheetData>
    <row r="1" spans="1:14" x14ac:dyDescent="0.3">
      <c r="A1" t="s">
        <v>615</v>
      </c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1254</v>
      </c>
    </row>
    <row r="2" spans="1:14" x14ac:dyDescent="0.3">
      <c r="A2" t="s">
        <v>651</v>
      </c>
      <c r="B2" t="s">
        <v>629</v>
      </c>
      <c r="C2" t="s">
        <v>635</v>
      </c>
      <c r="D2">
        <v>2</v>
      </c>
      <c r="E2" t="s">
        <v>631</v>
      </c>
      <c r="F2" t="s">
        <v>630</v>
      </c>
      <c r="G2">
        <v>3073</v>
      </c>
      <c r="H2">
        <v>8106</v>
      </c>
      <c r="I2">
        <v>200</v>
      </c>
      <c r="J2">
        <v>360</v>
      </c>
      <c r="K2">
        <v>1</v>
      </c>
      <c r="L2" t="s">
        <v>632</v>
      </c>
      <c r="M2" t="s">
        <v>633</v>
      </c>
      <c r="N2">
        <f>G2+H2</f>
        <v>11179</v>
      </c>
    </row>
    <row r="3" spans="1:14" x14ac:dyDescent="0.3">
      <c r="A3" t="s">
        <v>652</v>
      </c>
      <c r="B3" t="s">
        <v>629</v>
      </c>
      <c r="C3" t="s">
        <v>630</v>
      </c>
      <c r="D3">
        <v>0</v>
      </c>
      <c r="E3" t="s">
        <v>631</v>
      </c>
      <c r="F3" t="s">
        <v>630</v>
      </c>
      <c r="G3">
        <v>1853</v>
      </c>
      <c r="H3">
        <v>2840</v>
      </c>
      <c r="I3">
        <v>114</v>
      </c>
      <c r="J3">
        <v>360</v>
      </c>
      <c r="K3">
        <v>1</v>
      </c>
      <c r="L3" t="s">
        <v>636</v>
      </c>
      <c r="M3" t="s">
        <v>637</v>
      </c>
      <c r="N3">
        <f t="shared" ref="N3:N66" si="0">G3+H3</f>
        <v>4693</v>
      </c>
    </row>
    <row r="4" spans="1:14" x14ac:dyDescent="0.3">
      <c r="A4" t="s">
        <v>653</v>
      </c>
      <c r="B4" t="s">
        <v>629</v>
      </c>
      <c r="C4" t="s">
        <v>635</v>
      </c>
      <c r="D4">
        <v>2</v>
      </c>
      <c r="E4" t="s">
        <v>631</v>
      </c>
      <c r="F4" t="s">
        <v>630</v>
      </c>
      <c r="G4">
        <v>1299</v>
      </c>
      <c r="H4">
        <v>1086</v>
      </c>
      <c r="I4">
        <v>17</v>
      </c>
      <c r="J4">
        <v>120</v>
      </c>
      <c r="K4">
        <v>1</v>
      </c>
      <c r="L4" t="s">
        <v>632</v>
      </c>
      <c r="M4" t="s">
        <v>633</v>
      </c>
      <c r="N4">
        <f t="shared" si="0"/>
        <v>2385</v>
      </c>
    </row>
    <row r="5" spans="1:14" x14ac:dyDescent="0.3">
      <c r="A5" t="s">
        <v>654</v>
      </c>
      <c r="B5" t="s">
        <v>629</v>
      </c>
      <c r="C5" t="s">
        <v>630</v>
      </c>
      <c r="D5">
        <v>0</v>
      </c>
      <c r="E5" t="s">
        <v>631</v>
      </c>
      <c r="F5" t="s">
        <v>630</v>
      </c>
      <c r="G5">
        <v>4950</v>
      </c>
      <c r="H5">
        <v>0</v>
      </c>
      <c r="I5">
        <v>125</v>
      </c>
      <c r="J5">
        <v>360</v>
      </c>
      <c r="K5">
        <v>1</v>
      </c>
      <c r="L5" t="s">
        <v>632</v>
      </c>
      <c r="M5" t="s">
        <v>633</v>
      </c>
      <c r="N5">
        <f t="shared" si="0"/>
        <v>4950</v>
      </c>
    </row>
    <row r="6" spans="1:14" x14ac:dyDescent="0.3">
      <c r="A6" t="s">
        <v>656</v>
      </c>
      <c r="B6" t="s">
        <v>657</v>
      </c>
      <c r="C6" t="s">
        <v>630</v>
      </c>
      <c r="D6">
        <v>0</v>
      </c>
      <c r="E6" t="s">
        <v>631</v>
      </c>
      <c r="F6" t="s">
        <v>630</v>
      </c>
      <c r="G6">
        <v>3510</v>
      </c>
      <c r="H6">
        <v>0</v>
      </c>
      <c r="I6">
        <v>76</v>
      </c>
      <c r="J6">
        <v>360</v>
      </c>
      <c r="K6">
        <v>0</v>
      </c>
      <c r="L6" t="s">
        <v>632</v>
      </c>
      <c r="M6" t="s">
        <v>637</v>
      </c>
      <c r="N6">
        <f t="shared" si="0"/>
        <v>3510</v>
      </c>
    </row>
    <row r="7" spans="1:14" x14ac:dyDescent="0.3">
      <c r="A7" t="s">
        <v>658</v>
      </c>
      <c r="B7" t="s">
        <v>629</v>
      </c>
      <c r="C7" t="s">
        <v>635</v>
      </c>
      <c r="D7">
        <v>0</v>
      </c>
      <c r="E7" t="s">
        <v>640</v>
      </c>
      <c r="F7" t="s">
        <v>630</v>
      </c>
      <c r="G7">
        <v>4887</v>
      </c>
      <c r="H7">
        <v>0</v>
      </c>
      <c r="I7">
        <v>133</v>
      </c>
      <c r="J7">
        <v>360</v>
      </c>
      <c r="K7">
        <v>1</v>
      </c>
      <c r="L7" t="s">
        <v>636</v>
      </c>
      <c r="M7" t="s">
        <v>637</v>
      </c>
      <c r="N7">
        <f t="shared" si="0"/>
        <v>4887</v>
      </c>
    </row>
    <row r="8" spans="1:14" x14ac:dyDescent="0.3">
      <c r="A8" t="s">
        <v>660</v>
      </c>
      <c r="B8" t="s">
        <v>629</v>
      </c>
      <c r="C8" t="s">
        <v>635</v>
      </c>
      <c r="D8">
        <v>0</v>
      </c>
      <c r="E8" t="s">
        <v>640</v>
      </c>
      <c r="F8" t="s">
        <v>630</v>
      </c>
      <c r="G8">
        <v>7660</v>
      </c>
      <c r="H8">
        <v>0</v>
      </c>
      <c r="I8">
        <v>104</v>
      </c>
      <c r="J8">
        <v>360</v>
      </c>
      <c r="K8">
        <v>0</v>
      </c>
      <c r="L8" t="s">
        <v>632</v>
      </c>
      <c r="M8" t="s">
        <v>637</v>
      </c>
      <c r="N8">
        <f t="shared" si="0"/>
        <v>7660</v>
      </c>
    </row>
    <row r="9" spans="1:14" x14ac:dyDescent="0.3">
      <c r="A9" t="s">
        <v>662</v>
      </c>
      <c r="B9" t="s">
        <v>629</v>
      </c>
      <c r="C9" t="s">
        <v>635</v>
      </c>
      <c r="D9">
        <v>0</v>
      </c>
      <c r="E9" t="s">
        <v>640</v>
      </c>
      <c r="F9" t="s">
        <v>630</v>
      </c>
      <c r="G9">
        <v>2600</v>
      </c>
      <c r="H9">
        <v>1911</v>
      </c>
      <c r="I9">
        <v>116</v>
      </c>
      <c r="J9">
        <v>360</v>
      </c>
      <c r="K9">
        <v>0</v>
      </c>
      <c r="L9" t="s">
        <v>646</v>
      </c>
      <c r="M9" t="s">
        <v>637</v>
      </c>
      <c r="N9">
        <f t="shared" si="0"/>
        <v>4511</v>
      </c>
    </row>
    <row r="10" spans="1:14" x14ac:dyDescent="0.3">
      <c r="A10" t="s">
        <v>665</v>
      </c>
      <c r="B10" t="s">
        <v>629</v>
      </c>
      <c r="C10" t="s">
        <v>635</v>
      </c>
      <c r="D10">
        <v>0</v>
      </c>
      <c r="E10" t="s">
        <v>631</v>
      </c>
      <c r="F10" t="s">
        <v>635</v>
      </c>
      <c r="G10">
        <v>9560</v>
      </c>
      <c r="H10">
        <v>0</v>
      </c>
      <c r="I10">
        <v>191</v>
      </c>
      <c r="J10">
        <v>360</v>
      </c>
      <c r="K10">
        <v>1</v>
      </c>
      <c r="L10" t="s">
        <v>646</v>
      </c>
      <c r="M10" t="s">
        <v>633</v>
      </c>
      <c r="N10">
        <f t="shared" si="0"/>
        <v>9560</v>
      </c>
    </row>
    <row r="11" spans="1:14" x14ac:dyDescent="0.3">
      <c r="A11" t="s">
        <v>666</v>
      </c>
      <c r="B11" t="s">
        <v>629</v>
      </c>
      <c r="C11" t="s">
        <v>635</v>
      </c>
      <c r="D11">
        <v>0</v>
      </c>
      <c r="E11" t="s">
        <v>631</v>
      </c>
      <c r="F11" t="s">
        <v>630</v>
      </c>
      <c r="G11">
        <v>2799</v>
      </c>
      <c r="H11">
        <v>2253</v>
      </c>
      <c r="I11">
        <v>122</v>
      </c>
      <c r="J11">
        <v>360</v>
      </c>
      <c r="K11">
        <v>1</v>
      </c>
      <c r="L11" t="s">
        <v>646</v>
      </c>
      <c r="M11" t="s">
        <v>633</v>
      </c>
      <c r="N11">
        <f t="shared" si="0"/>
        <v>5052</v>
      </c>
    </row>
    <row r="12" spans="1:14" x14ac:dyDescent="0.3">
      <c r="A12" t="s">
        <v>667</v>
      </c>
      <c r="B12" t="s">
        <v>629</v>
      </c>
      <c r="C12" t="s">
        <v>635</v>
      </c>
      <c r="D12">
        <v>2</v>
      </c>
      <c r="E12" t="s">
        <v>640</v>
      </c>
      <c r="F12" t="s">
        <v>630</v>
      </c>
      <c r="G12">
        <v>4226</v>
      </c>
      <c r="H12">
        <v>1040</v>
      </c>
      <c r="I12">
        <v>110</v>
      </c>
      <c r="J12">
        <v>360</v>
      </c>
      <c r="K12">
        <v>1</v>
      </c>
      <c r="L12" t="s">
        <v>632</v>
      </c>
      <c r="M12" t="s">
        <v>633</v>
      </c>
      <c r="N12">
        <f t="shared" si="0"/>
        <v>5266</v>
      </c>
    </row>
    <row r="13" spans="1:14" x14ac:dyDescent="0.3">
      <c r="A13" t="s">
        <v>668</v>
      </c>
      <c r="B13" t="s">
        <v>629</v>
      </c>
      <c r="C13" t="s">
        <v>630</v>
      </c>
      <c r="D13">
        <v>0</v>
      </c>
      <c r="E13" t="s">
        <v>640</v>
      </c>
      <c r="F13" t="s">
        <v>630</v>
      </c>
      <c r="G13">
        <v>1442</v>
      </c>
      <c r="H13">
        <v>0</v>
      </c>
      <c r="I13">
        <v>35</v>
      </c>
      <c r="J13">
        <v>360</v>
      </c>
      <c r="K13">
        <v>1</v>
      </c>
      <c r="L13" t="s">
        <v>632</v>
      </c>
      <c r="M13" t="s">
        <v>637</v>
      </c>
      <c r="N13">
        <f t="shared" si="0"/>
        <v>1442</v>
      </c>
    </row>
    <row r="14" spans="1:14" x14ac:dyDescent="0.3">
      <c r="A14" t="s">
        <v>671</v>
      </c>
      <c r="B14" t="s">
        <v>629</v>
      </c>
      <c r="C14" t="s">
        <v>630</v>
      </c>
      <c r="D14">
        <v>0</v>
      </c>
      <c r="E14" t="s">
        <v>631</v>
      </c>
      <c r="F14" t="s">
        <v>630</v>
      </c>
      <c r="G14">
        <v>3167</v>
      </c>
      <c r="H14">
        <v>0</v>
      </c>
      <c r="I14">
        <v>74</v>
      </c>
      <c r="J14">
        <v>360</v>
      </c>
      <c r="K14">
        <v>1</v>
      </c>
      <c r="L14" t="s">
        <v>632</v>
      </c>
      <c r="M14" t="s">
        <v>637</v>
      </c>
      <c r="N14">
        <f t="shared" si="0"/>
        <v>3167</v>
      </c>
    </row>
    <row r="15" spans="1:14" x14ac:dyDescent="0.3">
      <c r="A15" t="s">
        <v>672</v>
      </c>
      <c r="B15" t="s">
        <v>629</v>
      </c>
      <c r="C15" t="s">
        <v>630</v>
      </c>
      <c r="D15">
        <v>1</v>
      </c>
      <c r="E15" t="s">
        <v>631</v>
      </c>
      <c r="F15" t="s">
        <v>635</v>
      </c>
      <c r="G15">
        <v>4692</v>
      </c>
      <c r="H15">
        <v>0</v>
      </c>
      <c r="I15">
        <v>106</v>
      </c>
      <c r="J15">
        <v>360</v>
      </c>
      <c r="K15">
        <v>1</v>
      </c>
      <c r="L15" t="s">
        <v>636</v>
      </c>
      <c r="M15" t="s">
        <v>637</v>
      </c>
      <c r="N15">
        <f t="shared" si="0"/>
        <v>4692</v>
      </c>
    </row>
    <row r="16" spans="1:14" x14ac:dyDescent="0.3">
      <c r="A16" t="s">
        <v>673</v>
      </c>
      <c r="B16" t="s">
        <v>629</v>
      </c>
      <c r="C16" t="s">
        <v>635</v>
      </c>
      <c r="D16">
        <v>0</v>
      </c>
      <c r="E16" t="s">
        <v>631</v>
      </c>
      <c r="F16" t="s">
        <v>630</v>
      </c>
      <c r="G16">
        <v>3500</v>
      </c>
      <c r="H16">
        <v>1667</v>
      </c>
      <c r="I16">
        <v>114</v>
      </c>
      <c r="J16">
        <v>360</v>
      </c>
      <c r="K16">
        <v>1</v>
      </c>
      <c r="L16" t="s">
        <v>646</v>
      </c>
      <c r="M16" t="s">
        <v>633</v>
      </c>
      <c r="N16">
        <f t="shared" si="0"/>
        <v>5167</v>
      </c>
    </row>
    <row r="17" spans="1:14" x14ac:dyDescent="0.3">
      <c r="A17" t="s">
        <v>677</v>
      </c>
      <c r="B17" t="s">
        <v>657</v>
      </c>
      <c r="C17" t="s">
        <v>635</v>
      </c>
      <c r="D17">
        <v>0</v>
      </c>
      <c r="E17" t="s">
        <v>631</v>
      </c>
      <c r="F17" t="s">
        <v>630</v>
      </c>
      <c r="G17">
        <v>3667</v>
      </c>
      <c r="H17">
        <v>1459</v>
      </c>
      <c r="I17">
        <v>144</v>
      </c>
      <c r="J17">
        <v>360</v>
      </c>
      <c r="K17">
        <v>1</v>
      </c>
      <c r="L17" t="s">
        <v>646</v>
      </c>
      <c r="M17" t="s">
        <v>633</v>
      </c>
      <c r="N17">
        <f t="shared" si="0"/>
        <v>5126</v>
      </c>
    </row>
    <row r="18" spans="1:14" x14ac:dyDescent="0.3">
      <c r="A18" t="s">
        <v>678</v>
      </c>
      <c r="B18" t="s">
        <v>629</v>
      </c>
      <c r="C18" t="s">
        <v>630</v>
      </c>
      <c r="D18">
        <v>0</v>
      </c>
      <c r="E18" t="s">
        <v>631</v>
      </c>
      <c r="F18" t="s">
        <v>630</v>
      </c>
      <c r="G18">
        <v>4166</v>
      </c>
      <c r="H18">
        <v>7210</v>
      </c>
      <c r="I18">
        <v>184</v>
      </c>
      <c r="J18">
        <v>360</v>
      </c>
      <c r="K18">
        <v>1</v>
      </c>
      <c r="L18" t="s">
        <v>632</v>
      </c>
      <c r="M18" t="s">
        <v>633</v>
      </c>
      <c r="N18">
        <f t="shared" si="0"/>
        <v>11376</v>
      </c>
    </row>
    <row r="19" spans="1:14" x14ac:dyDescent="0.3">
      <c r="A19" t="s">
        <v>679</v>
      </c>
      <c r="B19" t="s">
        <v>629</v>
      </c>
      <c r="C19" t="s">
        <v>630</v>
      </c>
      <c r="D19">
        <v>0</v>
      </c>
      <c r="E19" t="s">
        <v>640</v>
      </c>
      <c r="F19" t="s">
        <v>630</v>
      </c>
      <c r="G19">
        <v>3748</v>
      </c>
      <c r="H19">
        <v>1668</v>
      </c>
      <c r="I19">
        <v>110</v>
      </c>
      <c r="J19">
        <v>360</v>
      </c>
      <c r="K19">
        <v>1</v>
      </c>
      <c r="L19" t="s">
        <v>646</v>
      </c>
      <c r="M19" t="s">
        <v>633</v>
      </c>
      <c r="N19">
        <f t="shared" si="0"/>
        <v>5416</v>
      </c>
    </row>
    <row r="20" spans="1:14" x14ac:dyDescent="0.3">
      <c r="A20" t="s">
        <v>680</v>
      </c>
      <c r="B20" t="s">
        <v>629</v>
      </c>
      <c r="C20" t="s">
        <v>630</v>
      </c>
      <c r="D20">
        <v>0</v>
      </c>
      <c r="E20" t="s">
        <v>631</v>
      </c>
      <c r="F20" t="s">
        <v>630</v>
      </c>
      <c r="G20">
        <v>3600</v>
      </c>
      <c r="H20">
        <v>0</v>
      </c>
      <c r="I20">
        <v>80</v>
      </c>
      <c r="J20">
        <v>360</v>
      </c>
      <c r="K20">
        <v>1</v>
      </c>
      <c r="L20" t="s">
        <v>632</v>
      </c>
      <c r="M20" t="s">
        <v>637</v>
      </c>
      <c r="N20">
        <f t="shared" si="0"/>
        <v>3600</v>
      </c>
    </row>
    <row r="21" spans="1:14" x14ac:dyDescent="0.3">
      <c r="A21" t="s">
        <v>681</v>
      </c>
      <c r="B21" t="s">
        <v>629</v>
      </c>
      <c r="C21" t="s">
        <v>630</v>
      </c>
      <c r="D21">
        <v>0</v>
      </c>
      <c r="E21" t="s">
        <v>631</v>
      </c>
      <c r="F21" t="s">
        <v>630</v>
      </c>
      <c r="G21">
        <v>1800</v>
      </c>
      <c r="H21">
        <v>1213</v>
      </c>
      <c r="I21">
        <v>47</v>
      </c>
      <c r="J21">
        <v>360</v>
      </c>
      <c r="K21">
        <v>1</v>
      </c>
      <c r="L21" t="s">
        <v>632</v>
      </c>
      <c r="M21" t="s">
        <v>633</v>
      </c>
      <c r="N21">
        <f t="shared" si="0"/>
        <v>3013</v>
      </c>
    </row>
    <row r="22" spans="1:14" x14ac:dyDescent="0.3">
      <c r="A22" t="s">
        <v>683</v>
      </c>
      <c r="B22" t="s">
        <v>629</v>
      </c>
      <c r="C22" t="s">
        <v>635</v>
      </c>
      <c r="D22">
        <v>0</v>
      </c>
      <c r="E22" t="s">
        <v>631</v>
      </c>
      <c r="F22" t="s">
        <v>630</v>
      </c>
      <c r="G22">
        <v>3941</v>
      </c>
      <c r="H22">
        <v>2336</v>
      </c>
      <c r="I22">
        <v>134</v>
      </c>
      <c r="J22">
        <v>360</v>
      </c>
      <c r="K22">
        <v>1</v>
      </c>
      <c r="L22" t="s">
        <v>646</v>
      </c>
      <c r="M22" t="s">
        <v>633</v>
      </c>
      <c r="N22">
        <f t="shared" si="0"/>
        <v>6277</v>
      </c>
    </row>
    <row r="23" spans="1:14" x14ac:dyDescent="0.3">
      <c r="A23" t="s">
        <v>686</v>
      </c>
      <c r="B23" t="s">
        <v>629</v>
      </c>
      <c r="C23" t="s">
        <v>635</v>
      </c>
      <c r="D23">
        <v>1</v>
      </c>
      <c r="E23" t="s">
        <v>631</v>
      </c>
      <c r="F23" t="s">
        <v>630</v>
      </c>
      <c r="G23">
        <v>5649</v>
      </c>
      <c r="H23">
        <v>0</v>
      </c>
      <c r="I23">
        <v>44</v>
      </c>
      <c r="J23">
        <v>360</v>
      </c>
      <c r="K23">
        <v>1</v>
      </c>
      <c r="L23" t="s">
        <v>632</v>
      </c>
      <c r="M23" t="s">
        <v>633</v>
      </c>
      <c r="N23">
        <f t="shared" si="0"/>
        <v>5649</v>
      </c>
    </row>
    <row r="24" spans="1:14" x14ac:dyDescent="0.3">
      <c r="A24" t="s">
        <v>687</v>
      </c>
      <c r="B24" t="s">
        <v>629</v>
      </c>
      <c r="C24" t="s">
        <v>635</v>
      </c>
      <c r="D24">
        <v>0</v>
      </c>
      <c r="E24" t="s">
        <v>631</v>
      </c>
      <c r="F24" t="s">
        <v>630</v>
      </c>
      <c r="G24">
        <v>5821</v>
      </c>
      <c r="H24">
        <v>0</v>
      </c>
      <c r="I24">
        <v>144</v>
      </c>
      <c r="J24">
        <v>360</v>
      </c>
      <c r="K24">
        <v>1</v>
      </c>
      <c r="L24" t="s">
        <v>632</v>
      </c>
      <c r="M24" t="s">
        <v>633</v>
      </c>
      <c r="N24">
        <f t="shared" si="0"/>
        <v>5821</v>
      </c>
    </row>
    <row r="25" spans="1:14" x14ac:dyDescent="0.3">
      <c r="A25" t="s">
        <v>688</v>
      </c>
      <c r="B25" t="s">
        <v>657</v>
      </c>
      <c r="C25" t="s">
        <v>635</v>
      </c>
      <c r="D25">
        <v>0</v>
      </c>
      <c r="E25" t="s">
        <v>631</v>
      </c>
      <c r="F25" t="s">
        <v>630</v>
      </c>
      <c r="G25">
        <v>2645</v>
      </c>
      <c r="H25">
        <v>3440</v>
      </c>
      <c r="I25">
        <v>120</v>
      </c>
      <c r="J25">
        <v>360</v>
      </c>
      <c r="K25">
        <v>0</v>
      </c>
      <c r="L25" t="s">
        <v>632</v>
      </c>
      <c r="M25" t="s">
        <v>637</v>
      </c>
      <c r="N25">
        <f t="shared" si="0"/>
        <v>6085</v>
      </c>
    </row>
    <row r="26" spans="1:14" x14ac:dyDescent="0.3">
      <c r="A26" t="s">
        <v>689</v>
      </c>
      <c r="B26" t="s">
        <v>657</v>
      </c>
      <c r="C26" t="s">
        <v>630</v>
      </c>
      <c r="D26">
        <v>0</v>
      </c>
      <c r="E26" t="s">
        <v>631</v>
      </c>
      <c r="F26" t="s">
        <v>630</v>
      </c>
      <c r="G26">
        <v>4000</v>
      </c>
      <c r="H26">
        <v>2275</v>
      </c>
      <c r="I26">
        <v>144</v>
      </c>
      <c r="J26">
        <v>360</v>
      </c>
      <c r="K26">
        <v>1</v>
      </c>
      <c r="L26" t="s">
        <v>646</v>
      </c>
      <c r="M26" t="s">
        <v>633</v>
      </c>
      <c r="N26">
        <f t="shared" si="0"/>
        <v>6275</v>
      </c>
    </row>
    <row r="27" spans="1:14" x14ac:dyDescent="0.3">
      <c r="A27" t="s">
        <v>690</v>
      </c>
      <c r="B27" t="s">
        <v>657</v>
      </c>
      <c r="C27" t="s">
        <v>635</v>
      </c>
      <c r="D27">
        <v>0</v>
      </c>
      <c r="E27" t="s">
        <v>640</v>
      </c>
      <c r="F27" t="s">
        <v>630</v>
      </c>
      <c r="G27">
        <v>1928</v>
      </c>
      <c r="H27">
        <v>1644</v>
      </c>
      <c r="I27">
        <v>100</v>
      </c>
      <c r="J27">
        <v>360</v>
      </c>
      <c r="K27">
        <v>1</v>
      </c>
      <c r="L27" t="s">
        <v>646</v>
      </c>
      <c r="M27" t="s">
        <v>633</v>
      </c>
      <c r="N27">
        <f t="shared" si="0"/>
        <v>3572</v>
      </c>
    </row>
    <row r="28" spans="1:14" x14ac:dyDescent="0.3">
      <c r="A28" t="s">
        <v>691</v>
      </c>
      <c r="B28" t="s">
        <v>657</v>
      </c>
      <c r="C28" t="s">
        <v>630</v>
      </c>
      <c r="D28">
        <v>0</v>
      </c>
      <c r="E28" t="s">
        <v>631</v>
      </c>
      <c r="F28" t="s">
        <v>630</v>
      </c>
      <c r="G28">
        <v>3086</v>
      </c>
      <c r="H28">
        <v>0</v>
      </c>
      <c r="I28">
        <v>120</v>
      </c>
      <c r="J28">
        <v>360</v>
      </c>
      <c r="K28">
        <v>1</v>
      </c>
      <c r="L28" t="s">
        <v>646</v>
      </c>
      <c r="M28" t="s">
        <v>633</v>
      </c>
      <c r="N28">
        <f t="shared" si="0"/>
        <v>3086</v>
      </c>
    </row>
    <row r="29" spans="1:14" x14ac:dyDescent="0.3">
      <c r="A29" t="s">
        <v>692</v>
      </c>
      <c r="B29" t="s">
        <v>657</v>
      </c>
      <c r="C29" t="s">
        <v>630</v>
      </c>
      <c r="D29">
        <v>0</v>
      </c>
      <c r="E29" t="s">
        <v>631</v>
      </c>
      <c r="F29" t="s">
        <v>630</v>
      </c>
      <c r="G29">
        <v>4230</v>
      </c>
      <c r="H29">
        <v>0</v>
      </c>
      <c r="I29">
        <v>112</v>
      </c>
      <c r="J29">
        <v>360</v>
      </c>
      <c r="K29">
        <v>1</v>
      </c>
      <c r="L29" t="s">
        <v>646</v>
      </c>
      <c r="M29" t="s">
        <v>637</v>
      </c>
      <c r="N29">
        <f t="shared" si="0"/>
        <v>4230</v>
      </c>
    </row>
    <row r="30" spans="1:14" x14ac:dyDescent="0.3">
      <c r="A30" t="s">
        <v>693</v>
      </c>
      <c r="B30" t="s">
        <v>629</v>
      </c>
      <c r="C30" t="s">
        <v>635</v>
      </c>
      <c r="D30">
        <v>2</v>
      </c>
      <c r="E30" t="s">
        <v>631</v>
      </c>
      <c r="F30" t="s">
        <v>630</v>
      </c>
      <c r="G30">
        <v>4616</v>
      </c>
      <c r="H30">
        <v>0</v>
      </c>
      <c r="I30">
        <v>134</v>
      </c>
      <c r="J30">
        <v>360</v>
      </c>
      <c r="K30">
        <v>1</v>
      </c>
      <c r="L30" t="s">
        <v>632</v>
      </c>
      <c r="M30" t="s">
        <v>637</v>
      </c>
      <c r="N30">
        <f t="shared" si="0"/>
        <v>4616</v>
      </c>
    </row>
    <row r="31" spans="1:14" x14ac:dyDescent="0.3">
      <c r="A31" t="s">
        <v>695</v>
      </c>
      <c r="B31" t="s">
        <v>629</v>
      </c>
      <c r="C31" t="s">
        <v>635</v>
      </c>
      <c r="D31">
        <v>2</v>
      </c>
      <c r="E31" t="s">
        <v>631</v>
      </c>
      <c r="F31" t="s">
        <v>630</v>
      </c>
      <c r="G31">
        <v>2708</v>
      </c>
      <c r="H31">
        <v>1167</v>
      </c>
      <c r="I31">
        <v>97</v>
      </c>
      <c r="J31">
        <v>360</v>
      </c>
      <c r="K31">
        <v>1</v>
      </c>
      <c r="L31" t="s">
        <v>646</v>
      </c>
      <c r="M31" t="s">
        <v>633</v>
      </c>
      <c r="N31">
        <f t="shared" si="0"/>
        <v>3875</v>
      </c>
    </row>
    <row r="32" spans="1:14" x14ac:dyDescent="0.3">
      <c r="A32" t="s">
        <v>696</v>
      </c>
      <c r="B32" t="s">
        <v>629</v>
      </c>
      <c r="C32" t="s">
        <v>635</v>
      </c>
      <c r="D32">
        <v>0</v>
      </c>
      <c r="E32" t="s">
        <v>631</v>
      </c>
      <c r="F32" t="s">
        <v>630</v>
      </c>
      <c r="G32">
        <v>2132</v>
      </c>
      <c r="H32">
        <v>1591</v>
      </c>
      <c r="I32">
        <v>96</v>
      </c>
      <c r="J32">
        <v>360</v>
      </c>
      <c r="K32">
        <v>1</v>
      </c>
      <c r="L32" t="s">
        <v>646</v>
      </c>
      <c r="M32" t="s">
        <v>633</v>
      </c>
      <c r="N32">
        <f t="shared" si="0"/>
        <v>3723</v>
      </c>
    </row>
    <row r="33" spans="1:14" x14ac:dyDescent="0.3">
      <c r="A33" t="s">
        <v>697</v>
      </c>
      <c r="B33" t="s">
        <v>629</v>
      </c>
      <c r="C33" t="s">
        <v>635</v>
      </c>
      <c r="D33">
        <v>0</v>
      </c>
      <c r="E33" t="s">
        <v>631</v>
      </c>
      <c r="F33" t="s">
        <v>630</v>
      </c>
      <c r="G33">
        <v>3366</v>
      </c>
      <c r="H33">
        <v>2200</v>
      </c>
      <c r="I33">
        <v>135</v>
      </c>
      <c r="J33">
        <v>360</v>
      </c>
      <c r="K33">
        <v>1</v>
      </c>
      <c r="L33" t="s">
        <v>636</v>
      </c>
      <c r="M33" t="s">
        <v>637</v>
      </c>
      <c r="N33">
        <f t="shared" si="0"/>
        <v>5566</v>
      </c>
    </row>
    <row r="34" spans="1:14" x14ac:dyDescent="0.3">
      <c r="A34" t="s">
        <v>698</v>
      </c>
      <c r="B34" t="s">
        <v>629</v>
      </c>
      <c r="C34" t="s">
        <v>635</v>
      </c>
      <c r="D34">
        <v>1</v>
      </c>
      <c r="E34" t="s">
        <v>631</v>
      </c>
      <c r="F34" t="s">
        <v>630</v>
      </c>
      <c r="G34">
        <v>8080</v>
      </c>
      <c r="H34">
        <v>2250</v>
      </c>
      <c r="I34">
        <v>180</v>
      </c>
      <c r="J34">
        <v>360</v>
      </c>
      <c r="K34">
        <v>1</v>
      </c>
      <c r="L34" t="s">
        <v>632</v>
      </c>
      <c r="M34" t="s">
        <v>633</v>
      </c>
      <c r="N34">
        <f t="shared" si="0"/>
        <v>10330</v>
      </c>
    </row>
    <row r="35" spans="1:14" x14ac:dyDescent="0.3">
      <c r="A35" t="s">
        <v>699</v>
      </c>
      <c r="B35" t="s">
        <v>629</v>
      </c>
      <c r="C35" t="s">
        <v>635</v>
      </c>
      <c r="D35">
        <v>2</v>
      </c>
      <c r="E35" t="s">
        <v>640</v>
      </c>
      <c r="F35" t="s">
        <v>630</v>
      </c>
      <c r="G35">
        <v>3357</v>
      </c>
      <c r="H35">
        <v>2859</v>
      </c>
      <c r="I35">
        <v>144</v>
      </c>
      <c r="J35">
        <v>360</v>
      </c>
      <c r="K35">
        <v>1</v>
      </c>
      <c r="L35" t="s">
        <v>632</v>
      </c>
      <c r="M35" t="s">
        <v>633</v>
      </c>
      <c r="N35">
        <f t="shared" si="0"/>
        <v>6216</v>
      </c>
    </row>
    <row r="36" spans="1:14" x14ac:dyDescent="0.3">
      <c r="A36" t="s">
        <v>700</v>
      </c>
      <c r="B36" t="s">
        <v>629</v>
      </c>
      <c r="C36" t="s">
        <v>635</v>
      </c>
      <c r="D36">
        <v>0</v>
      </c>
      <c r="E36" t="s">
        <v>631</v>
      </c>
      <c r="F36" t="s">
        <v>630</v>
      </c>
      <c r="G36">
        <v>2500</v>
      </c>
      <c r="H36">
        <v>3796</v>
      </c>
      <c r="I36">
        <v>120</v>
      </c>
      <c r="J36">
        <v>360</v>
      </c>
      <c r="K36">
        <v>1</v>
      </c>
      <c r="L36" t="s">
        <v>632</v>
      </c>
      <c r="M36" t="s">
        <v>633</v>
      </c>
      <c r="N36">
        <f t="shared" si="0"/>
        <v>6296</v>
      </c>
    </row>
    <row r="37" spans="1:14" x14ac:dyDescent="0.3">
      <c r="A37" t="s">
        <v>701</v>
      </c>
      <c r="B37" t="s">
        <v>629</v>
      </c>
      <c r="C37" t="s">
        <v>635</v>
      </c>
      <c r="D37" t="s">
        <v>645</v>
      </c>
      <c r="E37" t="s">
        <v>631</v>
      </c>
      <c r="F37" t="s">
        <v>630</v>
      </c>
      <c r="G37">
        <v>3029</v>
      </c>
      <c r="H37">
        <v>0</v>
      </c>
      <c r="I37">
        <v>99</v>
      </c>
      <c r="J37">
        <v>360</v>
      </c>
      <c r="K37">
        <v>1</v>
      </c>
      <c r="L37" t="s">
        <v>632</v>
      </c>
      <c r="M37" t="s">
        <v>633</v>
      </c>
      <c r="N37">
        <f t="shared" si="0"/>
        <v>3029</v>
      </c>
    </row>
    <row r="38" spans="1:14" x14ac:dyDescent="0.3">
      <c r="A38" t="s">
        <v>702</v>
      </c>
      <c r="B38" t="s">
        <v>629</v>
      </c>
      <c r="C38" t="s">
        <v>635</v>
      </c>
      <c r="D38">
        <v>0</v>
      </c>
      <c r="E38" t="s">
        <v>640</v>
      </c>
      <c r="F38" t="s">
        <v>635</v>
      </c>
      <c r="G38">
        <v>2609</v>
      </c>
      <c r="H38">
        <v>3449</v>
      </c>
      <c r="I38">
        <v>165</v>
      </c>
      <c r="J38">
        <v>180</v>
      </c>
      <c r="K38">
        <v>0</v>
      </c>
      <c r="L38" t="s">
        <v>636</v>
      </c>
      <c r="M38" t="s">
        <v>637</v>
      </c>
      <c r="N38">
        <f t="shared" si="0"/>
        <v>6058</v>
      </c>
    </row>
    <row r="39" spans="1:14" x14ac:dyDescent="0.3">
      <c r="A39" t="s">
        <v>704</v>
      </c>
      <c r="B39" t="s">
        <v>657</v>
      </c>
      <c r="C39" t="s">
        <v>630</v>
      </c>
      <c r="D39">
        <v>0</v>
      </c>
      <c r="E39" t="s">
        <v>631</v>
      </c>
      <c r="F39" t="s">
        <v>630</v>
      </c>
      <c r="G39">
        <v>4166</v>
      </c>
      <c r="H39">
        <v>0</v>
      </c>
      <c r="I39">
        <v>116</v>
      </c>
      <c r="J39">
        <v>360</v>
      </c>
      <c r="K39">
        <v>0</v>
      </c>
      <c r="L39" t="s">
        <v>646</v>
      </c>
      <c r="M39" t="s">
        <v>637</v>
      </c>
      <c r="N39">
        <f t="shared" si="0"/>
        <v>4166</v>
      </c>
    </row>
    <row r="40" spans="1:14" x14ac:dyDescent="0.3">
      <c r="A40" t="s">
        <v>705</v>
      </c>
      <c r="B40" t="s">
        <v>629</v>
      </c>
      <c r="C40" t="s">
        <v>635</v>
      </c>
      <c r="D40">
        <v>0</v>
      </c>
      <c r="E40" t="s">
        <v>631</v>
      </c>
      <c r="F40" t="s">
        <v>630</v>
      </c>
      <c r="G40">
        <v>5726</v>
      </c>
      <c r="H40">
        <v>4595</v>
      </c>
      <c r="I40">
        <v>258</v>
      </c>
      <c r="J40">
        <v>360</v>
      </c>
      <c r="K40">
        <v>1</v>
      </c>
      <c r="L40" t="s">
        <v>646</v>
      </c>
      <c r="M40" t="s">
        <v>637</v>
      </c>
      <c r="N40">
        <f t="shared" si="0"/>
        <v>10321</v>
      </c>
    </row>
    <row r="41" spans="1:14" x14ac:dyDescent="0.3">
      <c r="A41" t="s">
        <v>706</v>
      </c>
      <c r="B41" t="s">
        <v>629</v>
      </c>
      <c r="C41" t="s">
        <v>630</v>
      </c>
      <c r="D41">
        <v>0</v>
      </c>
      <c r="E41" t="s">
        <v>640</v>
      </c>
      <c r="F41" t="s">
        <v>630</v>
      </c>
      <c r="G41">
        <v>3200</v>
      </c>
      <c r="H41">
        <v>2254</v>
      </c>
      <c r="I41">
        <v>126</v>
      </c>
      <c r="J41">
        <v>180</v>
      </c>
      <c r="K41">
        <v>0</v>
      </c>
      <c r="L41" t="s">
        <v>632</v>
      </c>
      <c r="M41" t="s">
        <v>637</v>
      </c>
      <c r="N41">
        <f t="shared" si="0"/>
        <v>5454</v>
      </c>
    </row>
    <row r="42" spans="1:14" x14ac:dyDescent="0.3">
      <c r="A42" t="s">
        <v>708</v>
      </c>
      <c r="B42" t="s">
        <v>629</v>
      </c>
      <c r="C42" t="s">
        <v>635</v>
      </c>
      <c r="D42" t="s">
        <v>645</v>
      </c>
      <c r="E42" t="s">
        <v>640</v>
      </c>
      <c r="F42" t="s">
        <v>635</v>
      </c>
      <c r="G42">
        <v>7100</v>
      </c>
      <c r="H42">
        <v>0</v>
      </c>
      <c r="I42">
        <v>125</v>
      </c>
      <c r="J42">
        <v>60</v>
      </c>
      <c r="K42">
        <v>1</v>
      </c>
      <c r="L42" t="s">
        <v>632</v>
      </c>
      <c r="M42" t="s">
        <v>633</v>
      </c>
      <c r="N42">
        <f t="shared" si="0"/>
        <v>7100</v>
      </c>
    </row>
    <row r="43" spans="1:14" x14ac:dyDescent="0.3">
      <c r="A43" t="s">
        <v>709</v>
      </c>
      <c r="B43" t="s">
        <v>657</v>
      </c>
      <c r="C43" t="s">
        <v>630</v>
      </c>
      <c r="D43">
        <v>0</v>
      </c>
      <c r="E43" t="s">
        <v>631</v>
      </c>
      <c r="F43" t="s">
        <v>630</v>
      </c>
      <c r="G43">
        <v>4300</v>
      </c>
      <c r="H43">
        <v>0</v>
      </c>
      <c r="I43">
        <v>136</v>
      </c>
      <c r="J43">
        <v>360</v>
      </c>
      <c r="K43">
        <v>0</v>
      </c>
      <c r="L43" t="s">
        <v>646</v>
      </c>
      <c r="M43" t="s">
        <v>637</v>
      </c>
      <c r="N43">
        <f t="shared" si="0"/>
        <v>4300</v>
      </c>
    </row>
    <row r="44" spans="1:14" x14ac:dyDescent="0.3">
      <c r="A44" t="s">
        <v>710</v>
      </c>
      <c r="B44" t="s">
        <v>629</v>
      </c>
      <c r="C44" t="s">
        <v>635</v>
      </c>
      <c r="D44">
        <v>0</v>
      </c>
      <c r="E44" t="s">
        <v>631</v>
      </c>
      <c r="F44" t="s">
        <v>630</v>
      </c>
      <c r="G44">
        <v>3208</v>
      </c>
      <c r="H44">
        <v>3066</v>
      </c>
      <c r="I44">
        <v>172</v>
      </c>
      <c r="J44">
        <v>360</v>
      </c>
      <c r="K44">
        <v>1</v>
      </c>
      <c r="L44" t="s">
        <v>632</v>
      </c>
      <c r="M44" t="s">
        <v>633</v>
      </c>
      <c r="N44">
        <f t="shared" si="0"/>
        <v>6274</v>
      </c>
    </row>
    <row r="45" spans="1:14" x14ac:dyDescent="0.3">
      <c r="A45" t="s">
        <v>711</v>
      </c>
      <c r="B45" t="s">
        <v>629</v>
      </c>
      <c r="C45" t="s">
        <v>635</v>
      </c>
      <c r="D45">
        <v>2</v>
      </c>
      <c r="E45" t="s">
        <v>640</v>
      </c>
      <c r="F45" t="s">
        <v>635</v>
      </c>
      <c r="G45">
        <v>1875</v>
      </c>
      <c r="H45">
        <v>1875</v>
      </c>
      <c r="I45">
        <v>97</v>
      </c>
      <c r="J45">
        <v>360</v>
      </c>
      <c r="K45">
        <v>1</v>
      </c>
      <c r="L45" t="s">
        <v>646</v>
      </c>
      <c r="M45" t="s">
        <v>633</v>
      </c>
      <c r="N45">
        <f t="shared" si="0"/>
        <v>3750</v>
      </c>
    </row>
    <row r="46" spans="1:14" x14ac:dyDescent="0.3">
      <c r="A46" t="s">
        <v>712</v>
      </c>
      <c r="B46" t="s">
        <v>629</v>
      </c>
      <c r="C46" t="s">
        <v>630</v>
      </c>
      <c r="D46">
        <v>0</v>
      </c>
      <c r="E46" t="s">
        <v>631</v>
      </c>
      <c r="F46" t="s">
        <v>630</v>
      </c>
      <c r="G46">
        <v>3500</v>
      </c>
      <c r="H46">
        <v>0</v>
      </c>
      <c r="I46">
        <v>81</v>
      </c>
      <c r="J46">
        <v>300</v>
      </c>
      <c r="K46">
        <v>1</v>
      </c>
      <c r="L46" t="s">
        <v>646</v>
      </c>
      <c r="M46" t="s">
        <v>633</v>
      </c>
      <c r="N46">
        <f t="shared" si="0"/>
        <v>3500</v>
      </c>
    </row>
    <row r="47" spans="1:14" x14ac:dyDescent="0.3">
      <c r="A47" t="s">
        <v>714</v>
      </c>
      <c r="B47" t="s">
        <v>629</v>
      </c>
      <c r="C47" t="s">
        <v>635</v>
      </c>
      <c r="D47" t="s">
        <v>645</v>
      </c>
      <c r="E47" t="s">
        <v>631</v>
      </c>
      <c r="F47" t="s">
        <v>635</v>
      </c>
      <c r="G47">
        <v>5266</v>
      </c>
      <c r="H47">
        <v>1774</v>
      </c>
      <c r="I47">
        <v>187</v>
      </c>
      <c r="J47">
        <v>360</v>
      </c>
      <c r="K47">
        <v>1</v>
      </c>
      <c r="L47" t="s">
        <v>646</v>
      </c>
      <c r="M47" t="s">
        <v>633</v>
      </c>
      <c r="N47">
        <f t="shared" si="0"/>
        <v>7040</v>
      </c>
    </row>
    <row r="48" spans="1:14" x14ac:dyDescent="0.3">
      <c r="A48" t="s">
        <v>715</v>
      </c>
      <c r="B48" t="s">
        <v>629</v>
      </c>
      <c r="C48" t="s">
        <v>630</v>
      </c>
      <c r="D48">
        <v>0</v>
      </c>
      <c r="E48" t="s">
        <v>631</v>
      </c>
      <c r="F48" t="s">
        <v>630</v>
      </c>
      <c r="G48">
        <v>3750</v>
      </c>
      <c r="H48">
        <v>0</v>
      </c>
      <c r="I48">
        <v>113</v>
      </c>
      <c r="J48">
        <v>480</v>
      </c>
      <c r="K48">
        <v>1</v>
      </c>
      <c r="L48" t="s">
        <v>632</v>
      </c>
      <c r="M48" t="s">
        <v>637</v>
      </c>
      <c r="N48">
        <f t="shared" si="0"/>
        <v>3750</v>
      </c>
    </row>
    <row r="49" spans="1:14" x14ac:dyDescent="0.3">
      <c r="A49" t="s">
        <v>716</v>
      </c>
      <c r="B49" t="s">
        <v>629</v>
      </c>
      <c r="C49" t="s">
        <v>630</v>
      </c>
      <c r="D49">
        <v>0</v>
      </c>
      <c r="E49" t="s">
        <v>631</v>
      </c>
      <c r="F49" t="s">
        <v>630</v>
      </c>
      <c r="G49">
        <v>3750</v>
      </c>
      <c r="H49">
        <v>4750</v>
      </c>
      <c r="I49">
        <v>176</v>
      </c>
      <c r="J49">
        <v>360</v>
      </c>
      <c r="K49">
        <v>1</v>
      </c>
      <c r="L49" t="s">
        <v>632</v>
      </c>
      <c r="M49" t="s">
        <v>637</v>
      </c>
      <c r="N49">
        <f t="shared" si="0"/>
        <v>8500</v>
      </c>
    </row>
    <row r="50" spans="1:14" x14ac:dyDescent="0.3">
      <c r="A50" t="s">
        <v>717</v>
      </c>
      <c r="B50" t="s">
        <v>629</v>
      </c>
      <c r="C50" t="s">
        <v>635</v>
      </c>
      <c r="D50">
        <v>1</v>
      </c>
      <c r="E50" t="s">
        <v>631</v>
      </c>
      <c r="F50" t="s">
        <v>635</v>
      </c>
      <c r="G50">
        <v>1000</v>
      </c>
      <c r="H50">
        <v>3022</v>
      </c>
      <c r="I50">
        <v>110</v>
      </c>
      <c r="J50">
        <v>360</v>
      </c>
      <c r="K50">
        <v>1</v>
      </c>
      <c r="L50" t="s">
        <v>632</v>
      </c>
      <c r="M50" t="s">
        <v>637</v>
      </c>
      <c r="N50">
        <f t="shared" si="0"/>
        <v>4022</v>
      </c>
    </row>
    <row r="51" spans="1:14" x14ac:dyDescent="0.3">
      <c r="A51" t="s">
        <v>718</v>
      </c>
      <c r="B51" t="s">
        <v>629</v>
      </c>
      <c r="C51" t="s">
        <v>635</v>
      </c>
      <c r="D51" t="s">
        <v>645</v>
      </c>
      <c r="E51" t="s">
        <v>631</v>
      </c>
      <c r="F51" t="s">
        <v>630</v>
      </c>
      <c r="G51">
        <v>3167</v>
      </c>
      <c r="H51">
        <v>4000</v>
      </c>
      <c r="I51">
        <v>180</v>
      </c>
      <c r="J51">
        <v>300</v>
      </c>
      <c r="K51">
        <v>0</v>
      </c>
      <c r="L51" t="s">
        <v>646</v>
      </c>
      <c r="M51" t="s">
        <v>637</v>
      </c>
      <c r="N51">
        <f t="shared" si="0"/>
        <v>7167</v>
      </c>
    </row>
    <row r="52" spans="1:14" x14ac:dyDescent="0.3">
      <c r="A52" t="s">
        <v>720</v>
      </c>
      <c r="B52" t="s">
        <v>657</v>
      </c>
      <c r="C52" t="s">
        <v>630</v>
      </c>
      <c r="D52">
        <v>0</v>
      </c>
      <c r="E52" t="s">
        <v>631</v>
      </c>
      <c r="F52" t="s">
        <v>630</v>
      </c>
      <c r="G52">
        <v>3846</v>
      </c>
      <c r="H52">
        <v>0</v>
      </c>
      <c r="I52">
        <v>111</v>
      </c>
      <c r="J52">
        <v>360</v>
      </c>
      <c r="K52">
        <v>1</v>
      </c>
      <c r="L52" t="s">
        <v>646</v>
      </c>
      <c r="M52" t="s">
        <v>633</v>
      </c>
      <c r="N52">
        <f t="shared" si="0"/>
        <v>3846</v>
      </c>
    </row>
    <row r="53" spans="1:14" x14ac:dyDescent="0.3">
      <c r="A53" t="s">
        <v>722</v>
      </c>
      <c r="B53" t="s">
        <v>657</v>
      </c>
      <c r="C53" t="s">
        <v>635</v>
      </c>
      <c r="D53">
        <v>2</v>
      </c>
      <c r="E53" t="s">
        <v>631</v>
      </c>
      <c r="F53" t="s">
        <v>630</v>
      </c>
      <c r="G53">
        <v>1378</v>
      </c>
      <c r="H53">
        <v>1881</v>
      </c>
      <c r="I53">
        <v>167</v>
      </c>
      <c r="J53">
        <v>360</v>
      </c>
      <c r="K53">
        <v>1</v>
      </c>
      <c r="L53" t="s">
        <v>632</v>
      </c>
      <c r="M53" t="s">
        <v>637</v>
      </c>
      <c r="N53">
        <f t="shared" si="0"/>
        <v>3259</v>
      </c>
    </row>
    <row r="54" spans="1:14" x14ac:dyDescent="0.3">
      <c r="A54" t="s">
        <v>724</v>
      </c>
      <c r="B54" t="s">
        <v>629</v>
      </c>
      <c r="C54" t="s">
        <v>635</v>
      </c>
      <c r="D54">
        <v>1</v>
      </c>
      <c r="E54" t="s">
        <v>631</v>
      </c>
      <c r="F54" t="s">
        <v>630</v>
      </c>
      <c r="G54">
        <v>3988</v>
      </c>
      <c r="H54">
        <v>0</v>
      </c>
      <c r="I54">
        <v>50</v>
      </c>
      <c r="J54">
        <v>240</v>
      </c>
      <c r="K54">
        <v>1</v>
      </c>
      <c r="L54" t="s">
        <v>632</v>
      </c>
      <c r="M54" t="s">
        <v>633</v>
      </c>
      <c r="N54">
        <f t="shared" si="0"/>
        <v>3988</v>
      </c>
    </row>
    <row r="55" spans="1:14" x14ac:dyDescent="0.3">
      <c r="A55" t="s">
        <v>725</v>
      </c>
      <c r="B55" t="s">
        <v>629</v>
      </c>
      <c r="C55" t="s">
        <v>630</v>
      </c>
      <c r="D55">
        <v>0</v>
      </c>
      <c r="E55" t="s">
        <v>631</v>
      </c>
      <c r="F55" t="s">
        <v>630</v>
      </c>
      <c r="G55">
        <v>2366</v>
      </c>
      <c r="H55">
        <v>2531</v>
      </c>
      <c r="I55">
        <v>136</v>
      </c>
      <c r="J55">
        <v>360</v>
      </c>
      <c r="K55">
        <v>1</v>
      </c>
      <c r="L55" t="s">
        <v>646</v>
      </c>
      <c r="M55" t="s">
        <v>633</v>
      </c>
      <c r="N55">
        <f t="shared" si="0"/>
        <v>4897</v>
      </c>
    </row>
    <row r="56" spans="1:14" x14ac:dyDescent="0.3">
      <c r="A56" t="s">
        <v>727</v>
      </c>
      <c r="B56" t="s">
        <v>629</v>
      </c>
      <c r="C56" t="s">
        <v>635</v>
      </c>
      <c r="D56">
        <v>0</v>
      </c>
      <c r="E56" t="s">
        <v>631</v>
      </c>
      <c r="F56" t="s">
        <v>630</v>
      </c>
      <c r="G56">
        <v>2500</v>
      </c>
      <c r="H56">
        <v>2118</v>
      </c>
      <c r="I56">
        <v>104</v>
      </c>
      <c r="J56">
        <v>360</v>
      </c>
      <c r="K56">
        <v>1</v>
      </c>
      <c r="L56" t="s">
        <v>646</v>
      </c>
      <c r="M56" t="s">
        <v>633</v>
      </c>
      <c r="N56">
        <f t="shared" si="0"/>
        <v>4618</v>
      </c>
    </row>
    <row r="57" spans="1:14" x14ac:dyDescent="0.3">
      <c r="A57" t="s">
        <v>728</v>
      </c>
      <c r="B57" t="s">
        <v>629</v>
      </c>
      <c r="C57" t="s">
        <v>630</v>
      </c>
      <c r="D57">
        <v>0</v>
      </c>
      <c r="E57" t="s">
        <v>631</v>
      </c>
      <c r="F57" t="s">
        <v>630</v>
      </c>
      <c r="G57">
        <v>8566</v>
      </c>
      <c r="H57">
        <v>0</v>
      </c>
      <c r="I57">
        <v>210</v>
      </c>
      <c r="J57">
        <v>360</v>
      </c>
      <c r="K57">
        <v>1</v>
      </c>
      <c r="L57" t="s">
        <v>632</v>
      </c>
      <c r="M57" t="s">
        <v>633</v>
      </c>
      <c r="N57">
        <f t="shared" si="0"/>
        <v>8566</v>
      </c>
    </row>
    <row r="58" spans="1:14" x14ac:dyDescent="0.3">
      <c r="A58" t="s">
        <v>729</v>
      </c>
      <c r="B58" t="s">
        <v>629</v>
      </c>
      <c r="C58" t="s">
        <v>635</v>
      </c>
      <c r="D58">
        <v>0</v>
      </c>
      <c r="E58" t="s">
        <v>631</v>
      </c>
      <c r="F58" t="s">
        <v>630</v>
      </c>
      <c r="G58">
        <v>5695</v>
      </c>
      <c r="H58">
        <v>4167</v>
      </c>
      <c r="I58">
        <v>175</v>
      </c>
      <c r="J58">
        <v>360</v>
      </c>
      <c r="K58">
        <v>1</v>
      </c>
      <c r="L58" t="s">
        <v>646</v>
      </c>
      <c r="M58" t="s">
        <v>633</v>
      </c>
      <c r="N58">
        <f t="shared" si="0"/>
        <v>9862</v>
      </c>
    </row>
    <row r="59" spans="1:14" x14ac:dyDescent="0.3">
      <c r="A59" t="s">
        <v>730</v>
      </c>
      <c r="B59" t="s">
        <v>629</v>
      </c>
      <c r="C59" t="s">
        <v>635</v>
      </c>
      <c r="D59">
        <v>0</v>
      </c>
      <c r="E59" t="s">
        <v>631</v>
      </c>
      <c r="F59" t="s">
        <v>630</v>
      </c>
      <c r="G59">
        <v>2958</v>
      </c>
      <c r="H59">
        <v>2900</v>
      </c>
      <c r="I59">
        <v>131</v>
      </c>
      <c r="J59">
        <v>360</v>
      </c>
      <c r="K59">
        <v>1</v>
      </c>
      <c r="L59" t="s">
        <v>646</v>
      </c>
      <c r="M59" t="s">
        <v>633</v>
      </c>
      <c r="N59">
        <f t="shared" si="0"/>
        <v>5858</v>
      </c>
    </row>
    <row r="60" spans="1:14" x14ac:dyDescent="0.3">
      <c r="A60" t="s">
        <v>731</v>
      </c>
      <c r="B60" t="s">
        <v>629</v>
      </c>
      <c r="C60" t="s">
        <v>635</v>
      </c>
      <c r="D60">
        <v>2</v>
      </c>
      <c r="E60" t="s">
        <v>631</v>
      </c>
      <c r="F60" t="s">
        <v>630</v>
      </c>
      <c r="G60">
        <v>6250</v>
      </c>
      <c r="H60">
        <v>5654</v>
      </c>
      <c r="I60">
        <v>188</v>
      </c>
      <c r="J60">
        <v>180</v>
      </c>
      <c r="K60">
        <v>1</v>
      </c>
      <c r="L60" t="s">
        <v>646</v>
      </c>
      <c r="M60" t="s">
        <v>633</v>
      </c>
      <c r="N60">
        <f t="shared" si="0"/>
        <v>11904</v>
      </c>
    </row>
    <row r="61" spans="1:14" x14ac:dyDescent="0.3">
      <c r="A61" t="s">
        <v>732</v>
      </c>
      <c r="B61" t="s">
        <v>629</v>
      </c>
      <c r="C61" t="s">
        <v>635</v>
      </c>
      <c r="D61">
        <v>2</v>
      </c>
      <c r="E61" t="s">
        <v>640</v>
      </c>
      <c r="F61" t="s">
        <v>630</v>
      </c>
      <c r="G61">
        <v>3273</v>
      </c>
      <c r="H61">
        <v>1820</v>
      </c>
      <c r="I61">
        <v>81</v>
      </c>
      <c r="J61">
        <v>360</v>
      </c>
      <c r="K61">
        <v>1</v>
      </c>
      <c r="L61" t="s">
        <v>632</v>
      </c>
      <c r="M61" t="s">
        <v>633</v>
      </c>
      <c r="N61">
        <f t="shared" si="0"/>
        <v>5093</v>
      </c>
    </row>
    <row r="62" spans="1:14" x14ac:dyDescent="0.3">
      <c r="A62" t="s">
        <v>733</v>
      </c>
      <c r="B62" t="s">
        <v>629</v>
      </c>
      <c r="C62" t="s">
        <v>630</v>
      </c>
      <c r="D62">
        <v>0</v>
      </c>
      <c r="E62" t="s">
        <v>631</v>
      </c>
      <c r="F62" t="s">
        <v>630</v>
      </c>
      <c r="G62">
        <v>4133</v>
      </c>
      <c r="H62">
        <v>0</v>
      </c>
      <c r="I62">
        <v>122</v>
      </c>
      <c r="J62">
        <v>360</v>
      </c>
      <c r="K62">
        <v>1</v>
      </c>
      <c r="L62" t="s">
        <v>646</v>
      </c>
      <c r="M62" t="s">
        <v>633</v>
      </c>
      <c r="N62">
        <f t="shared" si="0"/>
        <v>4133</v>
      </c>
    </row>
    <row r="63" spans="1:14" x14ac:dyDescent="0.3">
      <c r="A63" t="s">
        <v>734</v>
      </c>
      <c r="B63" t="s">
        <v>629</v>
      </c>
      <c r="C63" t="s">
        <v>630</v>
      </c>
      <c r="D63">
        <v>0</v>
      </c>
      <c r="E63" t="s">
        <v>640</v>
      </c>
      <c r="F63" t="s">
        <v>630</v>
      </c>
      <c r="G63">
        <v>3620</v>
      </c>
      <c r="H63">
        <v>0</v>
      </c>
      <c r="I63">
        <v>25</v>
      </c>
      <c r="J63">
        <v>120</v>
      </c>
      <c r="K63">
        <v>1</v>
      </c>
      <c r="L63" t="s">
        <v>646</v>
      </c>
      <c r="M63" t="s">
        <v>633</v>
      </c>
      <c r="N63">
        <f t="shared" si="0"/>
        <v>3620</v>
      </c>
    </row>
    <row r="64" spans="1:14" x14ac:dyDescent="0.3">
      <c r="A64" t="s">
        <v>736</v>
      </c>
      <c r="B64" t="s">
        <v>657</v>
      </c>
      <c r="C64" t="s">
        <v>635</v>
      </c>
      <c r="D64">
        <v>0</v>
      </c>
      <c r="E64" t="s">
        <v>631</v>
      </c>
      <c r="F64" t="s">
        <v>630</v>
      </c>
      <c r="G64">
        <v>2484</v>
      </c>
      <c r="H64">
        <v>2302</v>
      </c>
      <c r="I64">
        <v>137</v>
      </c>
      <c r="J64">
        <v>360</v>
      </c>
      <c r="K64">
        <v>1</v>
      </c>
      <c r="L64" t="s">
        <v>646</v>
      </c>
      <c r="M64" t="s">
        <v>633</v>
      </c>
      <c r="N64">
        <f t="shared" si="0"/>
        <v>4786</v>
      </c>
    </row>
    <row r="65" spans="1:14" x14ac:dyDescent="0.3">
      <c r="A65" t="s">
        <v>737</v>
      </c>
      <c r="B65" t="s">
        <v>629</v>
      </c>
      <c r="C65" t="s">
        <v>635</v>
      </c>
      <c r="D65">
        <v>0</v>
      </c>
      <c r="E65" t="s">
        <v>631</v>
      </c>
      <c r="F65" t="s">
        <v>630</v>
      </c>
      <c r="G65">
        <v>1977</v>
      </c>
      <c r="H65">
        <v>997</v>
      </c>
      <c r="I65">
        <v>50</v>
      </c>
      <c r="J65">
        <v>360</v>
      </c>
      <c r="K65">
        <v>1</v>
      </c>
      <c r="L65" t="s">
        <v>646</v>
      </c>
      <c r="M65" t="s">
        <v>633</v>
      </c>
      <c r="N65">
        <f t="shared" si="0"/>
        <v>2974</v>
      </c>
    </row>
    <row r="66" spans="1:14" x14ac:dyDescent="0.3">
      <c r="A66" t="s">
        <v>738</v>
      </c>
      <c r="B66" t="s">
        <v>629</v>
      </c>
      <c r="C66" t="s">
        <v>635</v>
      </c>
      <c r="D66">
        <v>0</v>
      </c>
      <c r="E66" t="s">
        <v>640</v>
      </c>
      <c r="F66" t="s">
        <v>630</v>
      </c>
      <c r="G66">
        <v>4188</v>
      </c>
      <c r="H66">
        <v>0</v>
      </c>
      <c r="I66">
        <v>115</v>
      </c>
      <c r="J66">
        <v>180</v>
      </c>
      <c r="K66">
        <v>1</v>
      </c>
      <c r="L66" t="s">
        <v>646</v>
      </c>
      <c r="M66" t="s">
        <v>633</v>
      </c>
      <c r="N66">
        <f t="shared" si="0"/>
        <v>4188</v>
      </c>
    </row>
    <row r="67" spans="1:14" x14ac:dyDescent="0.3">
      <c r="A67" t="s">
        <v>739</v>
      </c>
      <c r="B67" t="s">
        <v>629</v>
      </c>
      <c r="C67" t="s">
        <v>635</v>
      </c>
      <c r="D67">
        <v>0</v>
      </c>
      <c r="E67" t="s">
        <v>631</v>
      </c>
      <c r="F67" t="s">
        <v>630</v>
      </c>
      <c r="G67">
        <v>1759</v>
      </c>
      <c r="H67">
        <v>3541</v>
      </c>
      <c r="I67">
        <v>131</v>
      </c>
      <c r="J67">
        <v>360</v>
      </c>
      <c r="K67">
        <v>1</v>
      </c>
      <c r="L67" t="s">
        <v>646</v>
      </c>
      <c r="M67" t="s">
        <v>633</v>
      </c>
      <c r="N67">
        <f t="shared" ref="N67:N130" si="1">G67+H67</f>
        <v>5300</v>
      </c>
    </row>
    <row r="68" spans="1:14" x14ac:dyDescent="0.3">
      <c r="A68" t="s">
        <v>740</v>
      </c>
      <c r="B68" t="s">
        <v>629</v>
      </c>
      <c r="C68" t="s">
        <v>635</v>
      </c>
      <c r="D68">
        <v>2</v>
      </c>
      <c r="E68" t="s">
        <v>640</v>
      </c>
      <c r="F68" t="s">
        <v>630</v>
      </c>
      <c r="G68">
        <v>4288</v>
      </c>
      <c r="H68">
        <v>3263</v>
      </c>
      <c r="I68">
        <v>133</v>
      </c>
      <c r="J68">
        <v>180</v>
      </c>
      <c r="K68">
        <v>1</v>
      </c>
      <c r="L68" t="s">
        <v>632</v>
      </c>
      <c r="M68" t="s">
        <v>633</v>
      </c>
      <c r="N68">
        <f t="shared" si="1"/>
        <v>7551</v>
      </c>
    </row>
    <row r="69" spans="1:14" x14ac:dyDescent="0.3">
      <c r="A69" t="s">
        <v>741</v>
      </c>
      <c r="B69" t="s">
        <v>629</v>
      </c>
      <c r="C69" t="s">
        <v>630</v>
      </c>
      <c r="D69">
        <v>0</v>
      </c>
      <c r="E69" t="s">
        <v>631</v>
      </c>
      <c r="F69" t="s">
        <v>630</v>
      </c>
      <c r="G69">
        <v>4843</v>
      </c>
      <c r="H69">
        <v>3806</v>
      </c>
      <c r="I69">
        <v>151</v>
      </c>
      <c r="J69">
        <v>360</v>
      </c>
      <c r="K69">
        <v>1</v>
      </c>
      <c r="L69" t="s">
        <v>646</v>
      </c>
      <c r="M69" t="s">
        <v>633</v>
      </c>
      <c r="N69">
        <f t="shared" si="1"/>
        <v>8649</v>
      </c>
    </row>
    <row r="70" spans="1:14" x14ac:dyDescent="0.3">
      <c r="A70" t="s">
        <v>745</v>
      </c>
      <c r="B70" t="s">
        <v>629</v>
      </c>
      <c r="C70" t="s">
        <v>635</v>
      </c>
      <c r="D70">
        <v>1</v>
      </c>
      <c r="E70" t="s">
        <v>631</v>
      </c>
      <c r="F70" t="s">
        <v>630</v>
      </c>
      <c r="G70">
        <v>3052</v>
      </c>
      <c r="H70">
        <v>1030</v>
      </c>
      <c r="I70">
        <v>100</v>
      </c>
      <c r="J70">
        <v>360</v>
      </c>
      <c r="K70">
        <v>1</v>
      </c>
      <c r="L70" t="s">
        <v>632</v>
      </c>
      <c r="M70" t="s">
        <v>633</v>
      </c>
      <c r="N70">
        <f t="shared" si="1"/>
        <v>4082</v>
      </c>
    </row>
    <row r="71" spans="1:14" x14ac:dyDescent="0.3">
      <c r="A71" t="s">
        <v>746</v>
      </c>
      <c r="B71" t="s">
        <v>629</v>
      </c>
      <c r="C71" t="s">
        <v>635</v>
      </c>
      <c r="D71">
        <v>2</v>
      </c>
      <c r="E71" t="s">
        <v>631</v>
      </c>
      <c r="F71" t="s">
        <v>630</v>
      </c>
      <c r="G71">
        <v>11417</v>
      </c>
      <c r="H71">
        <v>1126</v>
      </c>
      <c r="I71">
        <v>225</v>
      </c>
      <c r="J71">
        <v>360</v>
      </c>
      <c r="K71">
        <v>1</v>
      </c>
      <c r="L71" t="s">
        <v>632</v>
      </c>
      <c r="M71" t="s">
        <v>633</v>
      </c>
      <c r="N71">
        <f t="shared" si="1"/>
        <v>12543</v>
      </c>
    </row>
    <row r="72" spans="1:14" x14ac:dyDescent="0.3">
      <c r="A72" t="s">
        <v>748</v>
      </c>
      <c r="B72" t="s">
        <v>629</v>
      </c>
      <c r="C72" t="s">
        <v>635</v>
      </c>
      <c r="D72">
        <v>2</v>
      </c>
      <c r="E72" t="s">
        <v>631</v>
      </c>
      <c r="F72" t="s">
        <v>630</v>
      </c>
      <c r="G72">
        <v>3800</v>
      </c>
      <c r="H72">
        <v>3600</v>
      </c>
      <c r="I72">
        <v>216</v>
      </c>
      <c r="J72">
        <v>360</v>
      </c>
      <c r="K72">
        <v>0</v>
      </c>
      <c r="L72" t="s">
        <v>632</v>
      </c>
      <c r="M72" t="s">
        <v>637</v>
      </c>
      <c r="N72">
        <f t="shared" si="1"/>
        <v>7400</v>
      </c>
    </row>
    <row r="73" spans="1:14" x14ac:dyDescent="0.3">
      <c r="A73" t="s">
        <v>749</v>
      </c>
      <c r="B73" t="s">
        <v>629</v>
      </c>
      <c r="C73" t="s">
        <v>635</v>
      </c>
      <c r="D73" t="s">
        <v>645</v>
      </c>
      <c r="E73" t="s">
        <v>640</v>
      </c>
      <c r="F73" t="s">
        <v>630</v>
      </c>
      <c r="G73">
        <v>2071</v>
      </c>
      <c r="H73">
        <v>754</v>
      </c>
      <c r="I73">
        <v>94</v>
      </c>
      <c r="J73">
        <v>480</v>
      </c>
      <c r="K73">
        <v>1</v>
      </c>
      <c r="L73" t="s">
        <v>646</v>
      </c>
      <c r="M73" t="s">
        <v>633</v>
      </c>
      <c r="N73">
        <f t="shared" si="1"/>
        <v>2825</v>
      </c>
    </row>
    <row r="74" spans="1:14" x14ac:dyDescent="0.3">
      <c r="A74" t="s">
        <v>750</v>
      </c>
      <c r="B74" t="s">
        <v>629</v>
      </c>
      <c r="C74" t="s">
        <v>630</v>
      </c>
      <c r="D74">
        <v>0</v>
      </c>
      <c r="E74" t="s">
        <v>631</v>
      </c>
      <c r="F74" t="s">
        <v>630</v>
      </c>
      <c r="G74">
        <v>5316</v>
      </c>
      <c r="H74">
        <v>0</v>
      </c>
      <c r="I74">
        <v>136</v>
      </c>
      <c r="J74">
        <v>360</v>
      </c>
      <c r="K74">
        <v>1</v>
      </c>
      <c r="L74" t="s">
        <v>632</v>
      </c>
      <c r="M74" t="s">
        <v>633</v>
      </c>
      <c r="N74">
        <f t="shared" si="1"/>
        <v>5316</v>
      </c>
    </row>
    <row r="75" spans="1:14" x14ac:dyDescent="0.3">
      <c r="A75" t="s">
        <v>755</v>
      </c>
      <c r="B75" t="s">
        <v>629</v>
      </c>
      <c r="C75" t="s">
        <v>635</v>
      </c>
      <c r="D75">
        <v>1</v>
      </c>
      <c r="E75" t="s">
        <v>631</v>
      </c>
      <c r="F75" t="s">
        <v>630</v>
      </c>
      <c r="G75">
        <v>14583</v>
      </c>
      <c r="H75">
        <v>0</v>
      </c>
      <c r="I75">
        <v>185</v>
      </c>
      <c r="J75">
        <v>180</v>
      </c>
      <c r="K75">
        <v>1</v>
      </c>
      <c r="L75" t="s">
        <v>636</v>
      </c>
      <c r="M75" t="s">
        <v>633</v>
      </c>
      <c r="N75">
        <f t="shared" si="1"/>
        <v>14583</v>
      </c>
    </row>
    <row r="76" spans="1:14" x14ac:dyDescent="0.3">
      <c r="A76" t="s">
        <v>756</v>
      </c>
      <c r="B76" t="s">
        <v>657</v>
      </c>
      <c r="C76" t="s">
        <v>635</v>
      </c>
      <c r="D76">
        <v>0</v>
      </c>
      <c r="E76" t="s">
        <v>631</v>
      </c>
      <c r="F76" t="s">
        <v>630</v>
      </c>
      <c r="G76">
        <v>3167</v>
      </c>
      <c r="H76">
        <v>2283</v>
      </c>
      <c r="I76">
        <v>154</v>
      </c>
      <c r="J76">
        <v>360</v>
      </c>
      <c r="K76">
        <v>1</v>
      </c>
      <c r="L76" t="s">
        <v>646</v>
      </c>
      <c r="M76" t="s">
        <v>633</v>
      </c>
      <c r="N76">
        <f t="shared" si="1"/>
        <v>5450</v>
      </c>
    </row>
    <row r="77" spans="1:14" x14ac:dyDescent="0.3">
      <c r="A77" t="s">
        <v>758</v>
      </c>
      <c r="B77" t="s">
        <v>629</v>
      </c>
      <c r="C77" t="s">
        <v>635</v>
      </c>
      <c r="D77">
        <v>0</v>
      </c>
      <c r="E77" t="s">
        <v>631</v>
      </c>
      <c r="F77" t="s">
        <v>630</v>
      </c>
      <c r="G77">
        <v>5568</v>
      </c>
      <c r="H77">
        <v>2142</v>
      </c>
      <c r="I77">
        <v>175</v>
      </c>
      <c r="J77">
        <v>360</v>
      </c>
      <c r="K77">
        <v>1</v>
      </c>
      <c r="L77" t="s">
        <v>636</v>
      </c>
      <c r="M77" t="s">
        <v>637</v>
      </c>
      <c r="N77">
        <f t="shared" si="1"/>
        <v>7710</v>
      </c>
    </row>
    <row r="78" spans="1:14" x14ac:dyDescent="0.3">
      <c r="A78" t="s">
        <v>759</v>
      </c>
      <c r="B78" t="s">
        <v>657</v>
      </c>
      <c r="C78" t="s">
        <v>630</v>
      </c>
      <c r="D78">
        <v>0</v>
      </c>
      <c r="E78" t="s">
        <v>631</v>
      </c>
      <c r="F78" t="s">
        <v>630</v>
      </c>
      <c r="G78">
        <v>10408</v>
      </c>
      <c r="H78">
        <v>0</v>
      </c>
      <c r="I78">
        <v>259</v>
      </c>
      <c r="J78">
        <v>360</v>
      </c>
      <c r="K78">
        <v>1</v>
      </c>
      <c r="L78" t="s">
        <v>632</v>
      </c>
      <c r="M78" t="s">
        <v>633</v>
      </c>
      <c r="N78">
        <f t="shared" si="1"/>
        <v>10408</v>
      </c>
    </row>
    <row r="79" spans="1:14" x14ac:dyDescent="0.3">
      <c r="A79" t="s">
        <v>761</v>
      </c>
      <c r="B79" t="s">
        <v>657</v>
      </c>
      <c r="C79" t="s">
        <v>630</v>
      </c>
      <c r="D79">
        <v>0</v>
      </c>
      <c r="E79" t="s">
        <v>631</v>
      </c>
      <c r="F79" t="s">
        <v>630</v>
      </c>
      <c r="G79">
        <v>4166</v>
      </c>
      <c r="H79">
        <v>0</v>
      </c>
      <c r="I79">
        <v>44</v>
      </c>
      <c r="J79">
        <v>360</v>
      </c>
      <c r="K79">
        <v>1</v>
      </c>
      <c r="L79" t="s">
        <v>646</v>
      </c>
      <c r="M79" t="s">
        <v>633</v>
      </c>
      <c r="N79">
        <f t="shared" si="1"/>
        <v>4166</v>
      </c>
    </row>
    <row r="80" spans="1:14" x14ac:dyDescent="0.3">
      <c r="A80" t="s">
        <v>762</v>
      </c>
      <c r="B80" t="s">
        <v>657</v>
      </c>
      <c r="C80" t="s">
        <v>630</v>
      </c>
      <c r="D80">
        <v>0</v>
      </c>
      <c r="E80" t="s">
        <v>631</v>
      </c>
      <c r="F80" t="s">
        <v>630</v>
      </c>
      <c r="G80">
        <v>2137</v>
      </c>
      <c r="H80">
        <v>8980</v>
      </c>
      <c r="I80">
        <v>137</v>
      </c>
      <c r="J80">
        <v>360</v>
      </c>
      <c r="K80">
        <v>0</v>
      </c>
      <c r="L80" t="s">
        <v>646</v>
      </c>
      <c r="M80" t="s">
        <v>633</v>
      </c>
      <c r="N80">
        <f t="shared" si="1"/>
        <v>11117</v>
      </c>
    </row>
    <row r="81" spans="1:14" x14ac:dyDescent="0.3">
      <c r="A81" t="s">
        <v>763</v>
      </c>
      <c r="B81" t="s">
        <v>629</v>
      </c>
      <c r="C81" t="s">
        <v>635</v>
      </c>
      <c r="D81">
        <v>2</v>
      </c>
      <c r="E81" t="s">
        <v>631</v>
      </c>
      <c r="F81" t="s">
        <v>630</v>
      </c>
      <c r="G81">
        <v>2957</v>
      </c>
      <c r="H81">
        <v>0</v>
      </c>
      <c r="I81">
        <v>81</v>
      </c>
      <c r="J81">
        <v>360</v>
      </c>
      <c r="K81">
        <v>1</v>
      </c>
      <c r="L81" t="s">
        <v>646</v>
      </c>
      <c r="M81" t="s">
        <v>633</v>
      </c>
      <c r="N81">
        <f t="shared" si="1"/>
        <v>2957</v>
      </c>
    </row>
    <row r="82" spans="1:14" x14ac:dyDescent="0.3">
      <c r="A82" t="s">
        <v>764</v>
      </c>
      <c r="B82" t="s">
        <v>629</v>
      </c>
      <c r="C82" t="s">
        <v>635</v>
      </c>
      <c r="D82">
        <v>0</v>
      </c>
      <c r="E82" t="s">
        <v>640</v>
      </c>
      <c r="F82" t="s">
        <v>630</v>
      </c>
      <c r="G82">
        <v>4300</v>
      </c>
      <c r="H82">
        <v>2014</v>
      </c>
      <c r="I82">
        <v>194</v>
      </c>
      <c r="J82">
        <v>360</v>
      </c>
      <c r="K82">
        <v>1</v>
      </c>
      <c r="L82" t="s">
        <v>636</v>
      </c>
      <c r="M82" t="s">
        <v>633</v>
      </c>
      <c r="N82">
        <f t="shared" si="1"/>
        <v>6314</v>
      </c>
    </row>
    <row r="83" spans="1:14" x14ac:dyDescent="0.3">
      <c r="A83" t="s">
        <v>768</v>
      </c>
      <c r="B83" t="s">
        <v>629</v>
      </c>
      <c r="C83" t="s">
        <v>635</v>
      </c>
      <c r="D83">
        <v>1</v>
      </c>
      <c r="E83" t="s">
        <v>631</v>
      </c>
      <c r="F83" t="s">
        <v>635</v>
      </c>
      <c r="G83">
        <v>10513</v>
      </c>
      <c r="H83">
        <v>3850</v>
      </c>
      <c r="I83">
        <v>160</v>
      </c>
      <c r="J83">
        <v>180</v>
      </c>
      <c r="K83">
        <v>0</v>
      </c>
      <c r="L83" t="s">
        <v>632</v>
      </c>
      <c r="M83" t="s">
        <v>637</v>
      </c>
      <c r="N83">
        <f t="shared" si="1"/>
        <v>14363</v>
      </c>
    </row>
    <row r="84" spans="1:14" x14ac:dyDescent="0.3">
      <c r="A84" t="s">
        <v>771</v>
      </c>
      <c r="B84" t="s">
        <v>629</v>
      </c>
      <c r="C84" t="s">
        <v>630</v>
      </c>
      <c r="D84">
        <v>0</v>
      </c>
      <c r="E84" t="s">
        <v>631</v>
      </c>
      <c r="F84" t="s">
        <v>630</v>
      </c>
      <c r="G84">
        <v>2014</v>
      </c>
      <c r="H84">
        <v>1929</v>
      </c>
      <c r="I84">
        <v>74</v>
      </c>
      <c r="J84">
        <v>360</v>
      </c>
      <c r="K84">
        <v>1</v>
      </c>
      <c r="L84" t="s">
        <v>632</v>
      </c>
      <c r="M84" t="s">
        <v>633</v>
      </c>
      <c r="N84">
        <f t="shared" si="1"/>
        <v>3943</v>
      </c>
    </row>
    <row r="85" spans="1:14" x14ac:dyDescent="0.3">
      <c r="A85" t="s">
        <v>772</v>
      </c>
      <c r="B85" t="s">
        <v>629</v>
      </c>
      <c r="C85" t="s">
        <v>630</v>
      </c>
      <c r="D85">
        <v>0</v>
      </c>
      <c r="E85" t="s">
        <v>631</v>
      </c>
      <c r="F85" t="s">
        <v>630</v>
      </c>
      <c r="G85">
        <v>2718</v>
      </c>
      <c r="H85">
        <v>0</v>
      </c>
      <c r="I85">
        <v>70</v>
      </c>
      <c r="J85">
        <v>360</v>
      </c>
      <c r="K85">
        <v>1</v>
      </c>
      <c r="L85" t="s">
        <v>646</v>
      </c>
      <c r="M85" t="s">
        <v>633</v>
      </c>
      <c r="N85">
        <f t="shared" si="1"/>
        <v>2718</v>
      </c>
    </row>
    <row r="86" spans="1:14" x14ac:dyDescent="0.3">
      <c r="A86" t="s">
        <v>773</v>
      </c>
      <c r="B86" t="s">
        <v>629</v>
      </c>
      <c r="C86" t="s">
        <v>635</v>
      </c>
      <c r="D86">
        <v>0</v>
      </c>
      <c r="E86" t="s">
        <v>631</v>
      </c>
      <c r="F86" t="s">
        <v>635</v>
      </c>
      <c r="G86">
        <v>3459</v>
      </c>
      <c r="H86">
        <v>0</v>
      </c>
      <c r="I86">
        <v>25</v>
      </c>
      <c r="J86">
        <v>120</v>
      </c>
      <c r="K86">
        <v>1</v>
      </c>
      <c r="L86" t="s">
        <v>646</v>
      </c>
      <c r="M86" t="s">
        <v>633</v>
      </c>
      <c r="N86">
        <f t="shared" si="1"/>
        <v>3459</v>
      </c>
    </row>
    <row r="87" spans="1:14" x14ac:dyDescent="0.3">
      <c r="A87" t="s">
        <v>774</v>
      </c>
      <c r="B87" t="s">
        <v>629</v>
      </c>
      <c r="C87" t="s">
        <v>630</v>
      </c>
      <c r="D87">
        <v>0</v>
      </c>
      <c r="E87" t="s">
        <v>631</v>
      </c>
      <c r="F87" t="s">
        <v>630</v>
      </c>
      <c r="G87">
        <v>4895</v>
      </c>
      <c r="H87">
        <v>0</v>
      </c>
      <c r="I87">
        <v>102</v>
      </c>
      <c r="J87">
        <v>360</v>
      </c>
      <c r="K87">
        <v>1</v>
      </c>
      <c r="L87" t="s">
        <v>646</v>
      </c>
      <c r="M87" t="s">
        <v>633</v>
      </c>
      <c r="N87">
        <f t="shared" si="1"/>
        <v>4895</v>
      </c>
    </row>
    <row r="88" spans="1:14" x14ac:dyDescent="0.3">
      <c r="A88" t="s">
        <v>776</v>
      </c>
      <c r="B88" t="s">
        <v>657</v>
      </c>
      <c r="C88" t="s">
        <v>635</v>
      </c>
      <c r="D88">
        <v>0</v>
      </c>
      <c r="E88" t="s">
        <v>631</v>
      </c>
      <c r="F88" t="s">
        <v>630</v>
      </c>
      <c r="G88">
        <v>4583</v>
      </c>
      <c r="H88">
        <v>0</v>
      </c>
      <c r="I88">
        <v>84</v>
      </c>
      <c r="J88">
        <v>360</v>
      </c>
      <c r="K88">
        <v>1</v>
      </c>
      <c r="L88" t="s">
        <v>636</v>
      </c>
      <c r="M88" t="s">
        <v>637</v>
      </c>
      <c r="N88">
        <f t="shared" si="1"/>
        <v>4583</v>
      </c>
    </row>
    <row r="89" spans="1:14" x14ac:dyDescent="0.3">
      <c r="A89" t="s">
        <v>777</v>
      </c>
      <c r="B89" t="s">
        <v>629</v>
      </c>
      <c r="C89" t="s">
        <v>635</v>
      </c>
      <c r="D89">
        <v>2</v>
      </c>
      <c r="E89" t="s">
        <v>631</v>
      </c>
      <c r="F89" t="s">
        <v>635</v>
      </c>
      <c r="G89">
        <v>3316</v>
      </c>
      <c r="H89">
        <v>3500</v>
      </c>
      <c r="I89">
        <v>88</v>
      </c>
      <c r="J89">
        <v>360</v>
      </c>
      <c r="K89">
        <v>1</v>
      </c>
      <c r="L89" t="s">
        <v>632</v>
      </c>
      <c r="M89" t="s">
        <v>633</v>
      </c>
      <c r="N89">
        <f t="shared" si="1"/>
        <v>6816</v>
      </c>
    </row>
    <row r="90" spans="1:14" x14ac:dyDescent="0.3">
      <c r="A90" t="s">
        <v>778</v>
      </c>
      <c r="B90" t="s">
        <v>629</v>
      </c>
      <c r="C90" t="s">
        <v>630</v>
      </c>
      <c r="D90">
        <v>0</v>
      </c>
      <c r="E90" t="s">
        <v>631</v>
      </c>
      <c r="F90" t="s">
        <v>630</v>
      </c>
      <c r="G90">
        <v>14999</v>
      </c>
      <c r="H90">
        <v>0</v>
      </c>
      <c r="I90">
        <v>242</v>
      </c>
      <c r="J90">
        <v>360</v>
      </c>
      <c r="K90">
        <v>0</v>
      </c>
      <c r="L90" t="s">
        <v>646</v>
      </c>
      <c r="M90" t="s">
        <v>637</v>
      </c>
      <c r="N90">
        <f t="shared" si="1"/>
        <v>14999</v>
      </c>
    </row>
    <row r="91" spans="1:14" x14ac:dyDescent="0.3">
      <c r="A91" t="s">
        <v>779</v>
      </c>
      <c r="B91" t="s">
        <v>629</v>
      </c>
      <c r="C91" t="s">
        <v>635</v>
      </c>
      <c r="D91">
        <v>2</v>
      </c>
      <c r="E91" t="s">
        <v>640</v>
      </c>
      <c r="F91" t="s">
        <v>630</v>
      </c>
      <c r="G91">
        <v>4200</v>
      </c>
      <c r="H91">
        <v>1430</v>
      </c>
      <c r="I91">
        <v>129</v>
      </c>
      <c r="J91">
        <v>360</v>
      </c>
      <c r="K91">
        <v>1</v>
      </c>
      <c r="L91" t="s">
        <v>636</v>
      </c>
      <c r="M91" t="s">
        <v>637</v>
      </c>
      <c r="N91">
        <f t="shared" si="1"/>
        <v>5630</v>
      </c>
    </row>
    <row r="92" spans="1:14" x14ac:dyDescent="0.3">
      <c r="A92" t="s">
        <v>780</v>
      </c>
      <c r="B92" t="s">
        <v>629</v>
      </c>
      <c r="C92" t="s">
        <v>635</v>
      </c>
      <c r="D92">
        <v>2</v>
      </c>
      <c r="E92" t="s">
        <v>631</v>
      </c>
      <c r="F92" t="s">
        <v>630</v>
      </c>
      <c r="G92">
        <v>5042</v>
      </c>
      <c r="H92">
        <v>2083</v>
      </c>
      <c r="I92">
        <v>185</v>
      </c>
      <c r="J92">
        <v>360</v>
      </c>
      <c r="K92">
        <v>1</v>
      </c>
      <c r="L92" t="s">
        <v>636</v>
      </c>
      <c r="M92" t="s">
        <v>637</v>
      </c>
      <c r="N92">
        <f t="shared" si="1"/>
        <v>7125</v>
      </c>
    </row>
    <row r="93" spans="1:14" x14ac:dyDescent="0.3">
      <c r="A93" t="s">
        <v>781</v>
      </c>
      <c r="B93" t="s">
        <v>629</v>
      </c>
      <c r="C93" t="s">
        <v>630</v>
      </c>
      <c r="D93">
        <v>0</v>
      </c>
      <c r="E93" t="s">
        <v>631</v>
      </c>
      <c r="F93" t="s">
        <v>630</v>
      </c>
      <c r="G93">
        <v>5417</v>
      </c>
      <c r="H93">
        <v>0</v>
      </c>
      <c r="I93">
        <v>168</v>
      </c>
      <c r="J93">
        <v>360</v>
      </c>
      <c r="K93">
        <v>1</v>
      </c>
      <c r="L93" t="s">
        <v>632</v>
      </c>
      <c r="M93" t="s">
        <v>633</v>
      </c>
      <c r="N93">
        <f t="shared" si="1"/>
        <v>5417</v>
      </c>
    </row>
    <row r="94" spans="1:14" x14ac:dyDescent="0.3">
      <c r="A94" t="s">
        <v>782</v>
      </c>
      <c r="B94" t="s">
        <v>629</v>
      </c>
      <c r="C94" t="s">
        <v>630</v>
      </c>
      <c r="D94">
        <v>0</v>
      </c>
      <c r="E94" t="s">
        <v>631</v>
      </c>
      <c r="F94" t="s">
        <v>635</v>
      </c>
      <c r="G94">
        <v>6950</v>
      </c>
      <c r="H94">
        <v>0</v>
      </c>
      <c r="I94">
        <v>175</v>
      </c>
      <c r="J94">
        <v>180</v>
      </c>
      <c r="K94">
        <v>1</v>
      </c>
      <c r="L94" t="s">
        <v>646</v>
      </c>
      <c r="M94" t="s">
        <v>633</v>
      </c>
      <c r="N94">
        <f t="shared" si="1"/>
        <v>6950</v>
      </c>
    </row>
    <row r="95" spans="1:14" x14ac:dyDescent="0.3">
      <c r="A95" t="s">
        <v>783</v>
      </c>
      <c r="B95" t="s">
        <v>629</v>
      </c>
      <c r="C95" t="s">
        <v>635</v>
      </c>
      <c r="D95">
        <v>0</v>
      </c>
      <c r="E95" t="s">
        <v>631</v>
      </c>
      <c r="F95" t="s">
        <v>630</v>
      </c>
      <c r="G95">
        <v>2698</v>
      </c>
      <c r="H95">
        <v>2034</v>
      </c>
      <c r="I95">
        <v>122</v>
      </c>
      <c r="J95">
        <v>360</v>
      </c>
      <c r="K95">
        <v>1</v>
      </c>
      <c r="L95" t="s">
        <v>646</v>
      </c>
      <c r="M95" t="s">
        <v>633</v>
      </c>
      <c r="N95">
        <f t="shared" si="1"/>
        <v>4732</v>
      </c>
    </row>
    <row r="96" spans="1:14" x14ac:dyDescent="0.3">
      <c r="A96" t="s">
        <v>784</v>
      </c>
      <c r="B96" t="s">
        <v>629</v>
      </c>
      <c r="C96" t="s">
        <v>635</v>
      </c>
      <c r="D96">
        <v>2</v>
      </c>
      <c r="E96" t="s">
        <v>631</v>
      </c>
      <c r="F96" t="s">
        <v>630</v>
      </c>
      <c r="G96">
        <v>11757</v>
      </c>
      <c r="H96">
        <v>0</v>
      </c>
      <c r="I96">
        <v>187</v>
      </c>
      <c r="J96">
        <v>180</v>
      </c>
      <c r="K96">
        <v>1</v>
      </c>
      <c r="L96" t="s">
        <v>632</v>
      </c>
      <c r="M96" t="s">
        <v>633</v>
      </c>
      <c r="N96">
        <f t="shared" si="1"/>
        <v>11757</v>
      </c>
    </row>
    <row r="97" spans="1:14" x14ac:dyDescent="0.3">
      <c r="A97" t="s">
        <v>785</v>
      </c>
      <c r="B97" t="s">
        <v>657</v>
      </c>
      <c r="C97" t="s">
        <v>635</v>
      </c>
      <c r="D97">
        <v>0</v>
      </c>
      <c r="E97" t="s">
        <v>631</v>
      </c>
      <c r="F97" t="s">
        <v>630</v>
      </c>
      <c r="G97">
        <v>2330</v>
      </c>
      <c r="H97">
        <v>4486</v>
      </c>
      <c r="I97">
        <v>100</v>
      </c>
      <c r="J97">
        <v>360</v>
      </c>
      <c r="K97">
        <v>1</v>
      </c>
      <c r="L97" t="s">
        <v>646</v>
      </c>
      <c r="M97" t="s">
        <v>633</v>
      </c>
      <c r="N97">
        <f t="shared" si="1"/>
        <v>6816</v>
      </c>
    </row>
    <row r="98" spans="1:14" x14ac:dyDescent="0.3">
      <c r="A98" t="s">
        <v>786</v>
      </c>
      <c r="B98" t="s">
        <v>657</v>
      </c>
      <c r="C98" t="s">
        <v>635</v>
      </c>
      <c r="D98">
        <v>2</v>
      </c>
      <c r="E98" t="s">
        <v>631</v>
      </c>
      <c r="F98" t="s">
        <v>630</v>
      </c>
      <c r="G98">
        <v>14866</v>
      </c>
      <c r="H98">
        <v>0</v>
      </c>
      <c r="I98">
        <v>70</v>
      </c>
      <c r="J98">
        <v>360</v>
      </c>
      <c r="K98">
        <v>1</v>
      </c>
      <c r="L98" t="s">
        <v>632</v>
      </c>
      <c r="M98" t="s">
        <v>633</v>
      </c>
      <c r="N98">
        <f t="shared" si="1"/>
        <v>14866</v>
      </c>
    </row>
    <row r="99" spans="1:14" x14ac:dyDescent="0.3">
      <c r="A99" t="s">
        <v>787</v>
      </c>
      <c r="B99" t="s">
        <v>629</v>
      </c>
      <c r="C99" t="s">
        <v>635</v>
      </c>
      <c r="D99">
        <v>1</v>
      </c>
      <c r="E99" t="s">
        <v>631</v>
      </c>
      <c r="F99" t="s">
        <v>630</v>
      </c>
      <c r="G99">
        <v>1538</v>
      </c>
      <c r="H99">
        <v>1425</v>
      </c>
      <c r="I99">
        <v>30</v>
      </c>
      <c r="J99">
        <v>360</v>
      </c>
      <c r="K99">
        <v>1</v>
      </c>
      <c r="L99" t="s">
        <v>632</v>
      </c>
      <c r="M99" t="s">
        <v>633</v>
      </c>
      <c r="N99">
        <f t="shared" si="1"/>
        <v>2963</v>
      </c>
    </row>
    <row r="100" spans="1:14" x14ac:dyDescent="0.3">
      <c r="A100" t="s">
        <v>788</v>
      </c>
      <c r="B100" t="s">
        <v>657</v>
      </c>
      <c r="C100" t="s">
        <v>630</v>
      </c>
      <c r="D100">
        <v>0</v>
      </c>
      <c r="E100" t="s">
        <v>631</v>
      </c>
      <c r="F100" t="s">
        <v>630</v>
      </c>
      <c r="G100">
        <v>10000</v>
      </c>
      <c r="H100">
        <v>1666</v>
      </c>
      <c r="I100">
        <v>225</v>
      </c>
      <c r="J100">
        <v>360</v>
      </c>
      <c r="K100">
        <v>1</v>
      </c>
      <c r="L100" t="s">
        <v>636</v>
      </c>
      <c r="M100" t="s">
        <v>637</v>
      </c>
      <c r="N100">
        <f t="shared" si="1"/>
        <v>11666</v>
      </c>
    </row>
    <row r="101" spans="1:14" x14ac:dyDescent="0.3">
      <c r="A101" t="s">
        <v>789</v>
      </c>
      <c r="B101" t="s">
        <v>629</v>
      </c>
      <c r="C101" t="s">
        <v>635</v>
      </c>
      <c r="D101">
        <v>0</v>
      </c>
      <c r="E101" t="s">
        <v>631</v>
      </c>
      <c r="F101" t="s">
        <v>630</v>
      </c>
      <c r="G101">
        <v>4860</v>
      </c>
      <c r="H101">
        <v>830</v>
      </c>
      <c r="I101">
        <v>125</v>
      </c>
      <c r="J101">
        <v>360</v>
      </c>
      <c r="K101">
        <v>1</v>
      </c>
      <c r="L101" t="s">
        <v>646</v>
      </c>
      <c r="M101" t="s">
        <v>633</v>
      </c>
      <c r="N101">
        <f t="shared" si="1"/>
        <v>5690</v>
      </c>
    </row>
    <row r="102" spans="1:14" x14ac:dyDescent="0.3">
      <c r="A102" t="s">
        <v>790</v>
      </c>
      <c r="B102" t="s">
        <v>629</v>
      </c>
      <c r="C102" t="s">
        <v>630</v>
      </c>
      <c r="D102">
        <v>0</v>
      </c>
      <c r="E102" t="s">
        <v>631</v>
      </c>
      <c r="F102" t="s">
        <v>630</v>
      </c>
      <c r="G102">
        <v>6277</v>
      </c>
      <c r="H102">
        <v>0</v>
      </c>
      <c r="I102">
        <v>118</v>
      </c>
      <c r="J102">
        <v>360</v>
      </c>
      <c r="K102">
        <v>0</v>
      </c>
      <c r="L102" t="s">
        <v>636</v>
      </c>
      <c r="M102" t="s">
        <v>637</v>
      </c>
      <c r="N102">
        <f t="shared" si="1"/>
        <v>6277</v>
      </c>
    </row>
    <row r="103" spans="1:14" x14ac:dyDescent="0.3">
      <c r="A103" t="s">
        <v>791</v>
      </c>
      <c r="B103" t="s">
        <v>629</v>
      </c>
      <c r="C103" t="s">
        <v>635</v>
      </c>
      <c r="D103">
        <v>0</v>
      </c>
      <c r="E103" t="s">
        <v>631</v>
      </c>
      <c r="F103" t="s">
        <v>635</v>
      </c>
      <c r="G103">
        <v>2577</v>
      </c>
      <c r="H103">
        <v>3750</v>
      </c>
      <c r="I103">
        <v>152</v>
      </c>
      <c r="J103">
        <v>360</v>
      </c>
      <c r="K103">
        <v>1</v>
      </c>
      <c r="L103" t="s">
        <v>636</v>
      </c>
      <c r="M103" t="s">
        <v>633</v>
      </c>
      <c r="N103">
        <f t="shared" si="1"/>
        <v>6327</v>
      </c>
    </row>
    <row r="104" spans="1:14" x14ac:dyDescent="0.3">
      <c r="A104" t="s">
        <v>792</v>
      </c>
      <c r="B104" t="s">
        <v>629</v>
      </c>
      <c r="C104" t="s">
        <v>630</v>
      </c>
      <c r="D104">
        <v>0</v>
      </c>
      <c r="E104" t="s">
        <v>631</v>
      </c>
      <c r="F104" t="s">
        <v>630</v>
      </c>
      <c r="G104">
        <v>9166</v>
      </c>
      <c r="H104">
        <v>0</v>
      </c>
      <c r="I104">
        <v>244</v>
      </c>
      <c r="J104">
        <v>360</v>
      </c>
      <c r="K104">
        <v>1</v>
      </c>
      <c r="L104" t="s">
        <v>632</v>
      </c>
      <c r="M104" t="s">
        <v>637</v>
      </c>
      <c r="N104">
        <f t="shared" si="1"/>
        <v>9166</v>
      </c>
    </row>
    <row r="105" spans="1:14" x14ac:dyDescent="0.3">
      <c r="A105" t="s">
        <v>793</v>
      </c>
      <c r="B105" t="s">
        <v>629</v>
      </c>
      <c r="C105" t="s">
        <v>635</v>
      </c>
      <c r="D105">
        <v>2</v>
      </c>
      <c r="E105" t="s">
        <v>640</v>
      </c>
      <c r="F105" t="s">
        <v>630</v>
      </c>
      <c r="G105">
        <v>2281</v>
      </c>
      <c r="H105">
        <v>0</v>
      </c>
      <c r="I105">
        <v>113</v>
      </c>
      <c r="J105">
        <v>360</v>
      </c>
      <c r="K105">
        <v>1</v>
      </c>
      <c r="L105" t="s">
        <v>636</v>
      </c>
      <c r="M105" t="s">
        <v>637</v>
      </c>
      <c r="N105">
        <f t="shared" si="1"/>
        <v>2281</v>
      </c>
    </row>
    <row r="106" spans="1:14" x14ac:dyDescent="0.3">
      <c r="A106" t="s">
        <v>794</v>
      </c>
      <c r="B106" t="s">
        <v>629</v>
      </c>
      <c r="C106" t="s">
        <v>630</v>
      </c>
      <c r="D106">
        <v>0</v>
      </c>
      <c r="E106" t="s">
        <v>631</v>
      </c>
      <c r="F106" t="s">
        <v>630</v>
      </c>
      <c r="G106">
        <v>3254</v>
      </c>
      <c r="H106">
        <v>0</v>
      </c>
      <c r="I106">
        <v>50</v>
      </c>
      <c r="J106">
        <v>360</v>
      </c>
      <c r="K106">
        <v>1</v>
      </c>
      <c r="L106" t="s">
        <v>632</v>
      </c>
      <c r="M106" t="s">
        <v>633</v>
      </c>
      <c r="N106">
        <f t="shared" si="1"/>
        <v>3254</v>
      </c>
    </row>
    <row r="107" spans="1:14" x14ac:dyDescent="0.3">
      <c r="A107" t="s">
        <v>797</v>
      </c>
      <c r="B107" t="s">
        <v>629</v>
      </c>
      <c r="C107" t="s">
        <v>635</v>
      </c>
      <c r="D107">
        <v>1</v>
      </c>
      <c r="E107" t="s">
        <v>631</v>
      </c>
      <c r="F107" t="s">
        <v>630</v>
      </c>
      <c r="G107">
        <v>9538</v>
      </c>
      <c r="H107">
        <v>0</v>
      </c>
      <c r="I107">
        <v>187</v>
      </c>
      <c r="J107">
        <v>360</v>
      </c>
      <c r="K107">
        <v>1</v>
      </c>
      <c r="L107" t="s">
        <v>632</v>
      </c>
      <c r="M107" t="s">
        <v>633</v>
      </c>
      <c r="N107">
        <f t="shared" si="1"/>
        <v>9538</v>
      </c>
    </row>
    <row r="108" spans="1:14" x14ac:dyDescent="0.3">
      <c r="A108" t="s">
        <v>799</v>
      </c>
      <c r="B108" t="s">
        <v>629</v>
      </c>
      <c r="C108" t="s">
        <v>635</v>
      </c>
      <c r="D108">
        <v>0</v>
      </c>
      <c r="E108" t="s">
        <v>631</v>
      </c>
      <c r="F108" t="s">
        <v>630</v>
      </c>
      <c r="G108">
        <v>4583</v>
      </c>
      <c r="H108">
        <v>5625</v>
      </c>
      <c r="I108">
        <v>255</v>
      </c>
      <c r="J108">
        <v>360</v>
      </c>
      <c r="K108">
        <v>1</v>
      </c>
      <c r="L108" t="s">
        <v>646</v>
      </c>
      <c r="M108" t="s">
        <v>633</v>
      </c>
      <c r="N108">
        <f t="shared" si="1"/>
        <v>10208</v>
      </c>
    </row>
    <row r="109" spans="1:14" x14ac:dyDescent="0.3">
      <c r="A109" t="s">
        <v>800</v>
      </c>
      <c r="B109" t="s">
        <v>629</v>
      </c>
      <c r="C109" t="s">
        <v>635</v>
      </c>
      <c r="D109">
        <v>0</v>
      </c>
      <c r="E109" t="s">
        <v>640</v>
      </c>
      <c r="F109" t="s">
        <v>630</v>
      </c>
      <c r="G109">
        <v>1863</v>
      </c>
      <c r="H109">
        <v>1041</v>
      </c>
      <c r="I109">
        <v>98</v>
      </c>
      <c r="J109">
        <v>360</v>
      </c>
      <c r="K109">
        <v>1</v>
      </c>
      <c r="L109" t="s">
        <v>646</v>
      </c>
      <c r="M109" t="s">
        <v>633</v>
      </c>
      <c r="N109">
        <f t="shared" si="1"/>
        <v>2904</v>
      </c>
    </row>
    <row r="110" spans="1:14" x14ac:dyDescent="0.3">
      <c r="A110" t="s">
        <v>801</v>
      </c>
      <c r="B110" t="s">
        <v>629</v>
      </c>
      <c r="C110" t="s">
        <v>635</v>
      </c>
      <c r="D110">
        <v>0</v>
      </c>
      <c r="E110" t="s">
        <v>631</v>
      </c>
      <c r="F110" t="s">
        <v>630</v>
      </c>
      <c r="G110">
        <v>7933</v>
      </c>
      <c r="H110">
        <v>0</v>
      </c>
      <c r="I110">
        <v>275</v>
      </c>
      <c r="J110">
        <v>360</v>
      </c>
      <c r="K110">
        <v>1</v>
      </c>
      <c r="L110" t="s">
        <v>632</v>
      </c>
      <c r="M110" t="s">
        <v>637</v>
      </c>
      <c r="N110">
        <f t="shared" si="1"/>
        <v>7933</v>
      </c>
    </row>
    <row r="111" spans="1:14" x14ac:dyDescent="0.3">
      <c r="A111" t="s">
        <v>802</v>
      </c>
      <c r="B111" t="s">
        <v>629</v>
      </c>
      <c r="C111" t="s">
        <v>635</v>
      </c>
      <c r="D111">
        <v>1</v>
      </c>
      <c r="E111" t="s">
        <v>631</v>
      </c>
      <c r="F111" t="s">
        <v>630</v>
      </c>
      <c r="G111">
        <v>3089</v>
      </c>
      <c r="H111">
        <v>1280</v>
      </c>
      <c r="I111">
        <v>121</v>
      </c>
      <c r="J111">
        <v>360</v>
      </c>
      <c r="K111">
        <v>0</v>
      </c>
      <c r="L111" t="s">
        <v>646</v>
      </c>
      <c r="M111" t="s">
        <v>637</v>
      </c>
      <c r="N111">
        <f t="shared" si="1"/>
        <v>4369</v>
      </c>
    </row>
    <row r="112" spans="1:14" x14ac:dyDescent="0.3">
      <c r="A112" t="s">
        <v>803</v>
      </c>
      <c r="B112" t="s">
        <v>629</v>
      </c>
      <c r="C112" t="s">
        <v>635</v>
      </c>
      <c r="D112">
        <v>2</v>
      </c>
      <c r="E112" t="s">
        <v>631</v>
      </c>
      <c r="F112" t="s">
        <v>630</v>
      </c>
      <c r="G112">
        <v>4167</v>
      </c>
      <c r="H112">
        <v>1447</v>
      </c>
      <c r="I112">
        <v>158</v>
      </c>
      <c r="J112">
        <v>360</v>
      </c>
      <c r="K112">
        <v>1</v>
      </c>
      <c r="L112" t="s">
        <v>636</v>
      </c>
      <c r="M112" t="s">
        <v>633</v>
      </c>
      <c r="N112">
        <f t="shared" si="1"/>
        <v>5614</v>
      </c>
    </row>
    <row r="113" spans="1:14" x14ac:dyDescent="0.3">
      <c r="A113" t="s">
        <v>804</v>
      </c>
      <c r="B113" t="s">
        <v>629</v>
      </c>
      <c r="C113" t="s">
        <v>635</v>
      </c>
      <c r="D113">
        <v>0</v>
      </c>
      <c r="E113" t="s">
        <v>631</v>
      </c>
      <c r="F113" t="s">
        <v>630</v>
      </c>
      <c r="G113">
        <v>9323</v>
      </c>
      <c r="H113">
        <v>0</v>
      </c>
      <c r="I113">
        <v>75</v>
      </c>
      <c r="J113">
        <v>180</v>
      </c>
      <c r="K113">
        <v>1</v>
      </c>
      <c r="L113" t="s">
        <v>632</v>
      </c>
      <c r="M113" t="s">
        <v>633</v>
      </c>
      <c r="N113">
        <f t="shared" si="1"/>
        <v>9323</v>
      </c>
    </row>
    <row r="114" spans="1:14" x14ac:dyDescent="0.3">
      <c r="A114" t="s">
        <v>806</v>
      </c>
      <c r="B114" t="s">
        <v>657</v>
      </c>
      <c r="C114" t="s">
        <v>635</v>
      </c>
      <c r="D114">
        <v>0</v>
      </c>
      <c r="E114" t="s">
        <v>631</v>
      </c>
      <c r="F114" t="s">
        <v>630</v>
      </c>
      <c r="G114">
        <v>4583</v>
      </c>
      <c r="H114">
        <v>0</v>
      </c>
      <c r="I114">
        <v>112</v>
      </c>
      <c r="J114">
        <v>360</v>
      </c>
      <c r="K114">
        <v>1</v>
      </c>
      <c r="L114" t="s">
        <v>636</v>
      </c>
      <c r="M114" t="s">
        <v>637</v>
      </c>
      <c r="N114">
        <f t="shared" si="1"/>
        <v>4583</v>
      </c>
    </row>
    <row r="115" spans="1:14" x14ac:dyDescent="0.3">
      <c r="A115" t="s">
        <v>807</v>
      </c>
      <c r="B115" t="s">
        <v>629</v>
      </c>
      <c r="C115" t="s">
        <v>635</v>
      </c>
      <c r="D115">
        <v>0</v>
      </c>
      <c r="E115" t="s">
        <v>631</v>
      </c>
      <c r="F115" t="s">
        <v>630</v>
      </c>
      <c r="G115">
        <v>2439</v>
      </c>
      <c r="H115">
        <v>3333</v>
      </c>
      <c r="I115">
        <v>129</v>
      </c>
      <c r="J115">
        <v>360</v>
      </c>
      <c r="K115">
        <v>1</v>
      </c>
      <c r="L115" t="s">
        <v>636</v>
      </c>
      <c r="M115" t="s">
        <v>633</v>
      </c>
      <c r="N115">
        <f t="shared" si="1"/>
        <v>5772</v>
      </c>
    </row>
    <row r="116" spans="1:14" x14ac:dyDescent="0.3">
      <c r="A116" t="s">
        <v>808</v>
      </c>
      <c r="B116" t="s">
        <v>629</v>
      </c>
      <c r="C116" t="s">
        <v>630</v>
      </c>
      <c r="D116">
        <v>0</v>
      </c>
      <c r="E116" t="s">
        <v>631</v>
      </c>
      <c r="F116" t="s">
        <v>630</v>
      </c>
      <c r="G116">
        <v>2237</v>
      </c>
      <c r="H116">
        <v>0</v>
      </c>
      <c r="I116">
        <v>63</v>
      </c>
      <c r="J116">
        <v>480</v>
      </c>
      <c r="K116">
        <v>0</v>
      </c>
      <c r="L116" t="s">
        <v>646</v>
      </c>
      <c r="M116" t="s">
        <v>637</v>
      </c>
      <c r="N116">
        <f t="shared" si="1"/>
        <v>2237</v>
      </c>
    </row>
    <row r="117" spans="1:14" x14ac:dyDescent="0.3">
      <c r="A117" t="s">
        <v>809</v>
      </c>
      <c r="B117" t="s">
        <v>629</v>
      </c>
      <c r="C117" t="s">
        <v>635</v>
      </c>
      <c r="D117">
        <v>2</v>
      </c>
      <c r="E117" t="s">
        <v>631</v>
      </c>
      <c r="F117" t="s">
        <v>630</v>
      </c>
      <c r="G117">
        <v>8000</v>
      </c>
      <c r="H117">
        <v>0</v>
      </c>
      <c r="I117">
        <v>200</v>
      </c>
      <c r="J117">
        <v>360</v>
      </c>
      <c r="K117">
        <v>1</v>
      </c>
      <c r="L117" t="s">
        <v>646</v>
      </c>
      <c r="M117" t="s">
        <v>633</v>
      </c>
      <c r="N117">
        <f t="shared" si="1"/>
        <v>8000</v>
      </c>
    </row>
    <row r="118" spans="1:14" x14ac:dyDescent="0.3">
      <c r="A118" t="s">
        <v>812</v>
      </c>
      <c r="B118" t="s">
        <v>629</v>
      </c>
      <c r="C118" t="s">
        <v>635</v>
      </c>
      <c r="D118" t="s">
        <v>645</v>
      </c>
      <c r="E118" t="s">
        <v>640</v>
      </c>
      <c r="F118" t="s">
        <v>630</v>
      </c>
      <c r="G118">
        <v>3522</v>
      </c>
      <c r="H118">
        <v>0</v>
      </c>
      <c r="I118">
        <v>81</v>
      </c>
      <c r="J118">
        <v>180</v>
      </c>
      <c r="K118">
        <v>1</v>
      </c>
      <c r="L118" t="s">
        <v>636</v>
      </c>
      <c r="M118" t="s">
        <v>637</v>
      </c>
      <c r="N118">
        <f t="shared" si="1"/>
        <v>3522</v>
      </c>
    </row>
    <row r="119" spans="1:14" x14ac:dyDescent="0.3">
      <c r="A119" t="s">
        <v>813</v>
      </c>
      <c r="B119" t="s">
        <v>629</v>
      </c>
      <c r="C119" t="s">
        <v>635</v>
      </c>
      <c r="D119">
        <v>0</v>
      </c>
      <c r="E119" t="s">
        <v>631</v>
      </c>
      <c r="F119" t="s">
        <v>630</v>
      </c>
      <c r="G119">
        <v>5708</v>
      </c>
      <c r="H119">
        <v>5625</v>
      </c>
      <c r="I119">
        <v>187</v>
      </c>
      <c r="J119">
        <v>360</v>
      </c>
      <c r="K119">
        <v>1</v>
      </c>
      <c r="L119" t="s">
        <v>646</v>
      </c>
      <c r="M119" t="s">
        <v>633</v>
      </c>
      <c r="N119">
        <f t="shared" si="1"/>
        <v>11333</v>
      </c>
    </row>
    <row r="120" spans="1:14" x14ac:dyDescent="0.3">
      <c r="A120" t="s">
        <v>814</v>
      </c>
      <c r="B120" t="s">
        <v>629</v>
      </c>
      <c r="C120" t="s">
        <v>635</v>
      </c>
      <c r="D120">
        <v>0</v>
      </c>
      <c r="E120" t="s">
        <v>640</v>
      </c>
      <c r="F120" t="s">
        <v>635</v>
      </c>
      <c r="G120">
        <v>4344</v>
      </c>
      <c r="H120">
        <v>736</v>
      </c>
      <c r="I120">
        <v>87</v>
      </c>
      <c r="J120">
        <v>360</v>
      </c>
      <c r="K120">
        <v>1</v>
      </c>
      <c r="L120" t="s">
        <v>646</v>
      </c>
      <c r="M120" t="s">
        <v>637</v>
      </c>
      <c r="N120">
        <f t="shared" si="1"/>
        <v>5080</v>
      </c>
    </row>
    <row r="121" spans="1:14" x14ac:dyDescent="0.3">
      <c r="A121" t="s">
        <v>815</v>
      </c>
      <c r="B121" t="s">
        <v>629</v>
      </c>
      <c r="C121" t="s">
        <v>635</v>
      </c>
      <c r="D121">
        <v>0</v>
      </c>
      <c r="E121" t="s">
        <v>631</v>
      </c>
      <c r="F121" t="s">
        <v>630</v>
      </c>
      <c r="G121">
        <v>3497</v>
      </c>
      <c r="H121">
        <v>1964</v>
      </c>
      <c r="I121">
        <v>116</v>
      </c>
      <c r="J121">
        <v>360</v>
      </c>
      <c r="K121">
        <v>1</v>
      </c>
      <c r="L121" t="s">
        <v>636</v>
      </c>
      <c r="M121" t="s">
        <v>633</v>
      </c>
      <c r="N121">
        <f t="shared" si="1"/>
        <v>5461</v>
      </c>
    </row>
    <row r="122" spans="1:14" x14ac:dyDescent="0.3">
      <c r="A122" t="s">
        <v>816</v>
      </c>
      <c r="B122" t="s">
        <v>629</v>
      </c>
      <c r="C122" t="s">
        <v>635</v>
      </c>
      <c r="D122">
        <v>2</v>
      </c>
      <c r="E122" t="s">
        <v>631</v>
      </c>
      <c r="F122" t="s">
        <v>630</v>
      </c>
      <c r="G122">
        <v>2045</v>
      </c>
      <c r="H122">
        <v>1619</v>
      </c>
      <c r="I122">
        <v>101</v>
      </c>
      <c r="J122">
        <v>360</v>
      </c>
      <c r="K122">
        <v>1</v>
      </c>
      <c r="L122" t="s">
        <v>636</v>
      </c>
      <c r="M122" t="s">
        <v>633</v>
      </c>
      <c r="N122">
        <f t="shared" si="1"/>
        <v>3664</v>
      </c>
    </row>
    <row r="123" spans="1:14" x14ac:dyDescent="0.3">
      <c r="A123" t="s">
        <v>818</v>
      </c>
      <c r="B123" t="s">
        <v>629</v>
      </c>
      <c r="C123" t="s">
        <v>635</v>
      </c>
      <c r="D123">
        <v>1</v>
      </c>
      <c r="E123" t="s">
        <v>631</v>
      </c>
      <c r="F123" t="s">
        <v>630</v>
      </c>
      <c r="G123">
        <v>3750</v>
      </c>
      <c r="H123">
        <v>0</v>
      </c>
      <c r="I123">
        <v>116</v>
      </c>
      <c r="J123">
        <v>360</v>
      </c>
      <c r="K123">
        <v>1</v>
      </c>
      <c r="L123" t="s">
        <v>646</v>
      </c>
      <c r="M123" t="s">
        <v>633</v>
      </c>
      <c r="N123">
        <f t="shared" si="1"/>
        <v>3750</v>
      </c>
    </row>
    <row r="124" spans="1:14" x14ac:dyDescent="0.3">
      <c r="A124" t="s">
        <v>819</v>
      </c>
      <c r="B124" t="s">
        <v>629</v>
      </c>
      <c r="C124" t="s">
        <v>630</v>
      </c>
      <c r="D124">
        <v>0</v>
      </c>
      <c r="E124" t="s">
        <v>640</v>
      </c>
      <c r="F124" t="s">
        <v>630</v>
      </c>
      <c r="G124">
        <v>2333</v>
      </c>
      <c r="H124">
        <v>1451</v>
      </c>
      <c r="I124">
        <v>102</v>
      </c>
      <c r="J124">
        <v>480</v>
      </c>
      <c r="K124">
        <v>0</v>
      </c>
      <c r="L124" t="s">
        <v>632</v>
      </c>
      <c r="M124" t="s">
        <v>637</v>
      </c>
      <c r="N124">
        <f t="shared" si="1"/>
        <v>3784</v>
      </c>
    </row>
    <row r="125" spans="1:14" x14ac:dyDescent="0.3">
      <c r="A125" t="s">
        <v>820</v>
      </c>
      <c r="B125" t="s">
        <v>629</v>
      </c>
      <c r="C125" t="s">
        <v>635</v>
      </c>
      <c r="D125">
        <v>1</v>
      </c>
      <c r="E125" t="s">
        <v>631</v>
      </c>
      <c r="F125" t="s">
        <v>630</v>
      </c>
      <c r="G125">
        <v>6400</v>
      </c>
      <c r="H125">
        <v>7250</v>
      </c>
      <c r="I125">
        <v>180</v>
      </c>
      <c r="J125">
        <v>360</v>
      </c>
      <c r="K125">
        <v>0</v>
      </c>
      <c r="L125" t="s">
        <v>632</v>
      </c>
      <c r="M125" t="s">
        <v>637</v>
      </c>
      <c r="N125">
        <f t="shared" si="1"/>
        <v>13650</v>
      </c>
    </row>
    <row r="126" spans="1:14" x14ac:dyDescent="0.3">
      <c r="A126" t="s">
        <v>822</v>
      </c>
      <c r="B126" t="s">
        <v>629</v>
      </c>
      <c r="C126" t="s">
        <v>635</v>
      </c>
      <c r="D126">
        <v>0</v>
      </c>
      <c r="E126" t="s">
        <v>631</v>
      </c>
      <c r="F126" t="s">
        <v>630</v>
      </c>
      <c r="G126">
        <v>4600</v>
      </c>
      <c r="H126">
        <v>0</v>
      </c>
      <c r="I126">
        <v>73</v>
      </c>
      <c r="J126">
        <v>180</v>
      </c>
      <c r="K126">
        <v>1</v>
      </c>
      <c r="L126" t="s">
        <v>646</v>
      </c>
      <c r="M126" t="s">
        <v>633</v>
      </c>
      <c r="N126">
        <f t="shared" si="1"/>
        <v>4600</v>
      </c>
    </row>
    <row r="127" spans="1:14" x14ac:dyDescent="0.3">
      <c r="A127" t="s">
        <v>823</v>
      </c>
      <c r="B127" t="s">
        <v>629</v>
      </c>
      <c r="C127" t="s">
        <v>635</v>
      </c>
      <c r="D127">
        <v>1</v>
      </c>
      <c r="E127" t="s">
        <v>631</v>
      </c>
      <c r="F127" t="s">
        <v>630</v>
      </c>
      <c r="G127">
        <v>33846</v>
      </c>
      <c r="H127">
        <v>0</v>
      </c>
      <c r="I127">
        <v>260</v>
      </c>
      <c r="J127">
        <v>360</v>
      </c>
      <c r="K127">
        <v>1</v>
      </c>
      <c r="L127" t="s">
        <v>646</v>
      </c>
      <c r="M127" t="s">
        <v>637</v>
      </c>
      <c r="N127">
        <f t="shared" si="1"/>
        <v>33846</v>
      </c>
    </row>
    <row r="128" spans="1:14" x14ac:dyDescent="0.3">
      <c r="A128" t="s">
        <v>824</v>
      </c>
      <c r="B128" t="s">
        <v>657</v>
      </c>
      <c r="C128" t="s">
        <v>635</v>
      </c>
      <c r="D128">
        <v>0</v>
      </c>
      <c r="E128" t="s">
        <v>631</v>
      </c>
      <c r="F128" t="s">
        <v>630</v>
      </c>
      <c r="G128">
        <v>3625</v>
      </c>
      <c r="H128">
        <v>0</v>
      </c>
      <c r="I128">
        <v>108</v>
      </c>
      <c r="J128">
        <v>360</v>
      </c>
      <c r="K128">
        <v>1</v>
      </c>
      <c r="L128" t="s">
        <v>646</v>
      </c>
      <c r="M128" t="s">
        <v>633</v>
      </c>
      <c r="N128">
        <f t="shared" si="1"/>
        <v>3625</v>
      </c>
    </row>
    <row r="129" spans="1:14" x14ac:dyDescent="0.3">
      <c r="A129" t="s">
        <v>825</v>
      </c>
      <c r="B129" t="s">
        <v>629</v>
      </c>
      <c r="C129" t="s">
        <v>635</v>
      </c>
      <c r="D129">
        <v>0</v>
      </c>
      <c r="E129" t="s">
        <v>631</v>
      </c>
      <c r="F129" t="s">
        <v>635</v>
      </c>
      <c r="G129">
        <v>39147</v>
      </c>
      <c r="H129">
        <v>4750</v>
      </c>
      <c r="I129">
        <v>120</v>
      </c>
      <c r="J129">
        <v>360</v>
      </c>
      <c r="K129">
        <v>1</v>
      </c>
      <c r="L129" t="s">
        <v>646</v>
      </c>
      <c r="M129" t="s">
        <v>633</v>
      </c>
      <c r="N129">
        <f t="shared" si="1"/>
        <v>43897</v>
      </c>
    </row>
    <row r="130" spans="1:14" x14ac:dyDescent="0.3">
      <c r="A130" t="s">
        <v>826</v>
      </c>
      <c r="B130" t="s">
        <v>629</v>
      </c>
      <c r="C130" t="s">
        <v>635</v>
      </c>
      <c r="D130">
        <v>1</v>
      </c>
      <c r="E130" t="s">
        <v>631</v>
      </c>
      <c r="F130" t="s">
        <v>635</v>
      </c>
      <c r="G130">
        <v>2178</v>
      </c>
      <c r="H130">
        <v>0</v>
      </c>
      <c r="I130">
        <v>66</v>
      </c>
      <c r="J130">
        <v>300</v>
      </c>
      <c r="K130">
        <v>0</v>
      </c>
      <c r="L130" t="s">
        <v>636</v>
      </c>
      <c r="M130" t="s">
        <v>637</v>
      </c>
      <c r="N130">
        <f t="shared" si="1"/>
        <v>2178</v>
      </c>
    </row>
    <row r="131" spans="1:14" x14ac:dyDescent="0.3">
      <c r="A131" t="s">
        <v>829</v>
      </c>
      <c r="B131" t="s">
        <v>629</v>
      </c>
      <c r="C131" t="s">
        <v>635</v>
      </c>
      <c r="D131">
        <v>0</v>
      </c>
      <c r="E131" t="s">
        <v>631</v>
      </c>
      <c r="F131" t="s">
        <v>630</v>
      </c>
      <c r="G131">
        <v>9328</v>
      </c>
      <c r="H131">
        <v>0</v>
      </c>
      <c r="I131">
        <v>188</v>
      </c>
      <c r="J131">
        <v>180</v>
      </c>
      <c r="K131">
        <v>1</v>
      </c>
      <c r="L131" t="s">
        <v>636</v>
      </c>
      <c r="M131" t="s">
        <v>633</v>
      </c>
      <c r="N131">
        <f t="shared" ref="N131:N194" si="2">G131+H131</f>
        <v>9328</v>
      </c>
    </row>
    <row r="132" spans="1:14" x14ac:dyDescent="0.3">
      <c r="A132" t="s">
        <v>830</v>
      </c>
      <c r="B132" t="s">
        <v>629</v>
      </c>
      <c r="C132" t="s">
        <v>630</v>
      </c>
      <c r="D132">
        <v>0</v>
      </c>
      <c r="E132" t="s">
        <v>640</v>
      </c>
      <c r="F132" t="s">
        <v>630</v>
      </c>
      <c r="G132">
        <v>4885</v>
      </c>
      <c r="H132">
        <v>0</v>
      </c>
      <c r="I132">
        <v>48</v>
      </c>
      <c r="J132">
        <v>360</v>
      </c>
      <c r="K132">
        <v>1</v>
      </c>
      <c r="L132" t="s">
        <v>636</v>
      </c>
      <c r="M132" t="s">
        <v>633</v>
      </c>
      <c r="N132">
        <f t="shared" si="2"/>
        <v>4885</v>
      </c>
    </row>
    <row r="133" spans="1:14" x14ac:dyDescent="0.3">
      <c r="A133" t="s">
        <v>831</v>
      </c>
      <c r="B133" t="s">
        <v>629</v>
      </c>
      <c r="C133" t="s">
        <v>630</v>
      </c>
      <c r="D133">
        <v>0</v>
      </c>
      <c r="E133" t="s">
        <v>631</v>
      </c>
      <c r="F133" t="s">
        <v>630</v>
      </c>
      <c r="G133">
        <v>12000</v>
      </c>
      <c r="H133">
        <v>0</v>
      </c>
      <c r="I133">
        <v>164</v>
      </c>
      <c r="J133">
        <v>360</v>
      </c>
      <c r="K133">
        <v>1</v>
      </c>
      <c r="L133" t="s">
        <v>646</v>
      </c>
      <c r="M133" t="s">
        <v>637</v>
      </c>
      <c r="N133">
        <f t="shared" si="2"/>
        <v>12000</v>
      </c>
    </row>
    <row r="134" spans="1:14" x14ac:dyDescent="0.3">
      <c r="A134" t="s">
        <v>832</v>
      </c>
      <c r="B134" t="s">
        <v>629</v>
      </c>
      <c r="C134" t="s">
        <v>635</v>
      </c>
      <c r="D134">
        <v>0</v>
      </c>
      <c r="E134" t="s">
        <v>640</v>
      </c>
      <c r="F134" t="s">
        <v>630</v>
      </c>
      <c r="G134">
        <v>6033</v>
      </c>
      <c r="H134">
        <v>0</v>
      </c>
      <c r="I134">
        <v>160</v>
      </c>
      <c r="J134">
        <v>360</v>
      </c>
      <c r="K134">
        <v>1</v>
      </c>
      <c r="L134" t="s">
        <v>632</v>
      </c>
      <c r="M134" t="s">
        <v>637</v>
      </c>
      <c r="N134">
        <f t="shared" si="2"/>
        <v>6033</v>
      </c>
    </row>
    <row r="135" spans="1:14" x14ac:dyDescent="0.3">
      <c r="A135" t="s">
        <v>833</v>
      </c>
      <c r="B135" t="s">
        <v>629</v>
      </c>
      <c r="C135" t="s">
        <v>630</v>
      </c>
      <c r="D135">
        <v>0</v>
      </c>
      <c r="E135" t="s">
        <v>631</v>
      </c>
      <c r="F135" t="s">
        <v>630</v>
      </c>
      <c r="G135">
        <v>3858</v>
      </c>
      <c r="H135">
        <v>0</v>
      </c>
      <c r="I135">
        <v>76</v>
      </c>
      <c r="J135">
        <v>360</v>
      </c>
      <c r="K135">
        <v>1</v>
      </c>
      <c r="L135" t="s">
        <v>646</v>
      </c>
      <c r="M135" t="s">
        <v>633</v>
      </c>
      <c r="N135">
        <f t="shared" si="2"/>
        <v>3858</v>
      </c>
    </row>
    <row r="136" spans="1:14" x14ac:dyDescent="0.3">
      <c r="A136" t="s">
        <v>834</v>
      </c>
      <c r="B136" t="s">
        <v>629</v>
      </c>
      <c r="C136" t="s">
        <v>630</v>
      </c>
      <c r="D136">
        <v>0</v>
      </c>
      <c r="E136" t="s">
        <v>631</v>
      </c>
      <c r="F136" t="s">
        <v>630</v>
      </c>
      <c r="G136">
        <v>4191</v>
      </c>
      <c r="H136">
        <v>0</v>
      </c>
      <c r="I136">
        <v>120</v>
      </c>
      <c r="J136">
        <v>360</v>
      </c>
      <c r="K136">
        <v>1</v>
      </c>
      <c r="L136" t="s">
        <v>636</v>
      </c>
      <c r="M136" t="s">
        <v>633</v>
      </c>
      <c r="N136">
        <f t="shared" si="2"/>
        <v>4191</v>
      </c>
    </row>
    <row r="137" spans="1:14" x14ac:dyDescent="0.3">
      <c r="A137" t="s">
        <v>835</v>
      </c>
      <c r="B137" t="s">
        <v>629</v>
      </c>
      <c r="C137" t="s">
        <v>635</v>
      </c>
      <c r="D137">
        <v>1</v>
      </c>
      <c r="E137" t="s">
        <v>631</v>
      </c>
      <c r="F137" t="s">
        <v>630</v>
      </c>
      <c r="G137">
        <v>3125</v>
      </c>
      <c r="H137">
        <v>2583</v>
      </c>
      <c r="I137">
        <v>170</v>
      </c>
      <c r="J137">
        <v>360</v>
      </c>
      <c r="K137">
        <v>1</v>
      </c>
      <c r="L137" t="s">
        <v>646</v>
      </c>
      <c r="M137" t="s">
        <v>637</v>
      </c>
      <c r="N137">
        <f t="shared" si="2"/>
        <v>5708</v>
      </c>
    </row>
    <row r="138" spans="1:14" x14ac:dyDescent="0.3">
      <c r="A138" t="s">
        <v>836</v>
      </c>
      <c r="B138" t="s">
        <v>629</v>
      </c>
      <c r="C138" t="s">
        <v>630</v>
      </c>
      <c r="D138">
        <v>0</v>
      </c>
      <c r="E138" t="s">
        <v>631</v>
      </c>
      <c r="F138" t="s">
        <v>630</v>
      </c>
      <c r="G138">
        <v>8333</v>
      </c>
      <c r="H138">
        <v>3750</v>
      </c>
      <c r="I138">
        <v>187</v>
      </c>
      <c r="J138">
        <v>360</v>
      </c>
      <c r="K138">
        <v>1</v>
      </c>
      <c r="L138" t="s">
        <v>636</v>
      </c>
      <c r="M138" t="s">
        <v>633</v>
      </c>
      <c r="N138">
        <f t="shared" si="2"/>
        <v>12083</v>
      </c>
    </row>
    <row r="139" spans="1:14" x14ac:dyDescent="0.3">
      <c r="A139" t="s">
        <v>839</v>
      </c>
      <c r="B139" t="s">
        <v>629</v>
      </c>
      <c r="C139" t="s">
        <v>630</v>
      </c>
      <c r="D139">
        <v>0</v>
      </c>
      <c r="E139" t="s">
        <v>631</v>
      </c>
      <c r="F139" t="s">
        <v>635</v>
      </c>
      <c r="G139">
        <v>11000</v>
      </c>
      <c r="H139">
        <v>0</v>
      </c>
      <c r="I139">
        <v>83</v>
      </c>
      <c r="J139">
        <v>360</v>
      </c>
      <c r="K139">
        <v>1</v>
      </c>
      <c r="L139" t="s">
        <v>632</v>
      </c>
      <c r="M139" t="s">
        <v>637</v>
      </c>
      <c r="N139">
        <f t="shared" si="2"/>
        <v>11000</v>
      </c>
    </row>
    <row r="140" spans="1:14" x14ac:dyDescent="0.3">
      <c r="A140" t="s">
        <v>840</v>
      </c>
      <c r="B140" t="s">
        <v>629</v>
      </c>
      <c r="C140" t="s">
        <v>635</v>
      </c>
      <c r="D140">
        <v>1</v>
      </c>
      <c r="E140" t="s">
        <v>640</v>
      </c>
      <c r="F140" t="s">
        <v>630</v>
      </c>
      <c r="G140">
        <v>2600</v>
      </c>
      <c r="H140">
        <v>2500</v>
      </c>
      <c r="I140">
        <v>90</v>
      </c>
      <c r="J140">
        <v>360</v>
      </c>
      <c r="K140">
        <v>1</v>
      </c>
      <c r="L140" t="s">
        <v>646</v>
      </c>
      <c r="M140" t="s">
        <v>633</v>
      </c>
      <c r="N140">
        <f t="shared" si="2"/>
        <v>5100</v>
      </c>
    </row>
    <row r="141" spans="1:14" x14ac:dyDescent="0.3">
      <c r="A141" t="s">
        <v>841</v>
      </c>
      <c r="B141" t="s">
        <v>629</v>
      </c>
      <c r="C141" t="s">
        <v>630</v>
      </c>
      <c r="D141">
        <v>2</v>
      </c>
      <c r="E141" t="s">
        <v>631</v>
      </c>
      <c r="F141" t="s">
        <v>630</v>
      </c>
      <c r="G141">
        <v>4923</v>
      </c>
      <c r="H141">
        <v>0</v>
      </c>
      <c r="I141">
        <v>166</v>
      </c>
      <c r="J141">
        <v>360</v>
      </c>
      <c r="K141">
        <v>0</v>
      </c>
      <c r="L141" t="s">
        <v>646</v>
      </c>
      <c r="M141" t="s">
        <v>633</v>
      </c>
      <c r="N141">
        <f t="shared" si="2"/>
        <v>4923</v>
      </c>
    </row>
    <row r="142" spans="1:14" x14ac:dyDescent="0.3">
      <c r="A142" t="s">
        <v>843</v>
      </c>
      <c r="B142" t="s">
        <v>629</v>
      </c>
      <c r="C142" t="s">
        <v>635</v>
      </c>
      <c r="D142">
        <v>1</v>
      </c>
      <c r="E142" t="s">
        <v>640</v>
      </c>
      <c r="F142" t="s">
        <v>630</v>
      </c>
      <c r="G142">
        <v>3500</v>
      </c>
      <c r="H142">
        <v>1083</v>
      </c>
      <c r="I142">
        <v>135</v>
      </c>
      <c r="J142">
        <v>360</v>
      </c>
      <c r="K142">
        <v>1</v>
      </c>
      <c r="L142" t="s">
        <v>632</v>
      </c>
      <c r="M142" t="s">
        <v>633</v>
      </c>
      <c r="N142">
        <f t="shared" si="2"/>
        <v>4583</v>
      </c>
    </row>
    <row r="143" spans="1:14" x14ac:dyDescent="0.3">
      <c r="A143" t="s">
        <v>844</v>
      </c>
      <c r="B143" t="s">
        <v>629</v>
      </c>
      <c r="C143" t="s">
        <v>635</v>
      </c>
      <c r="D143">
        <v>2</v>
      </c>
      <c r="E143" t="s">
        <v>640</v>
      </c>
      <c r="F143" t="s">
        <v>630</v>
      </c>
      <c r="G143">
        <v>3917</v>
      </c>
      <c r="H143">
        <v>0</v>
      </c>
      <c r="I143">
        <v>124</v>
      </c>
      <c r="J143">
        <v>360</v>
      </c>
      <c r="K143">
        <v>1</v>
      </c>
      <c r="L143" t="s">
        <v>646</v>
      </c>
      <c r="M143" t="s">
        <v>633</v>
      </c>
      <c r="N143">
        <f t="shared" si="2"/>
        <v>3917</v>
      </c>
    </row>
    <row r="144" spans="1:14" x14ac:dyDescent="0.3">
      <c r="A144" t="s">
        <v>845</v>
      </c>
      <c r="B144" t="s">
        <v>657</v>
      </c>
      <c r="C144" t="s">
        <v>630</v>
      </c>
      <c r="D144">
        <v>0</v>
      </c>
      <c r="E144" t="s">
        <v>640</v>
      </c>
      <c r="F144" t="s">
        <v>630</v>
      </c>
      <c r="G144">
        <v>4408</v>
      </c>
      <c r="H144">
        <v>0</v>
      </c>
      <c r="I144">
        <v>120</v>
      </c>
      <c r="J144">
        <v>360</v>
      </c>
      <c r="K144">
        <v>1</v>
      </c>
      <c r="L144" t="s">
        <v>646</v>
      </c>
      <c r="M144" t="s">
        <v>633</v>
      </c>
      <c r="N144">
        <f t="shared" si="2"/>
        <v>4408</v>
      </c>
    </row>
    <row r="145" spans="1:14" x14ac:dyDescent="0.3">
      <c r="A145" t="s">
        <v>846</v>
      </c>
      <c r="B145" t="s">
        <v>657</v>
      </c>
      <c r="C145" t="s">
        <v>630</v>
      </c>
      <c r="D145">
        <v>0</v>
      </c>
      <c r="E145" t="s">
        <v>631</v>
      </c>
      <c r="F145" t="s">
        <v>630</v>
      </c>
      <c r="G145">
        <v>3244</v>
      </c>
      <c r="H145">
        <v>0</v>
      </c>
      <c r="I145">
        <v>80</v>
      </c>
      <c r="J145">
        <v>360</v>
      </c>
      <c r="K145">
        <v>1</v>
      </c>
      <c r="L145" t="s">
        <v>632</v>
      </c>
      <c r="M145" t="s">
        <v>633</v>
      </c>
      <c r="N145">
        <f t="shared" si="2"/>
        <v>3244</v>
      </c>
    </row>
    <row r="146" spans="1:14" x14ac:dyDescent="0.3">
      <c r="A146" t="s">
        <v>847</v>
      </c>
      <c r="B146" t="s">
        <v>629</v>
      </c>
      <c r="C146" t="s">
        <v>630</v>
      </c>
      <c r="D146">
        <v>0</v>
      </c>
      <c r="E146" t="s">
        <v>640</v>
      </c>
      <c r="F146" t="s">
        <v>630</v>
      </c>
      <c r="G146">
        <v>3975</v>
      </c>
      <c r="H146">
        <v>2531</v>
      </c>
      <c r="I146">
        <v>55</v>
      </c>
      <c r="J146">
        <v>360</v>
      </c>
      <c r="K146">
        <v>1</v>
      </c>
      <c r="L146" t="s">
        <v>636</v>
      </c>
      <c r="M146" t="s">
        <v>633</v>
      </c>
      <c r="N146">
        <f t="shared" si="2"/>
        <v>6506</v>
      </c>
    </row>
    <row r="147" spans="1:14" x14ac:dyDescent="0.3">
      <c r="A147" t="s">
        <v>848</v>
      </c>
      <c r="B147" t="s">
        <v>629</v>
      </c>
      <c r="C147" t="s">
        <v>630</v>
      </c>
      <c r="D147">
        <v>0</v>
      </c>
      <c r="E147" t="s">
        <v>631</v>
      </c>
      <c r="F147" t="s">
        <v>630</v>
      </c>
      <c r="G147">
        <v>2479</v>
      </c>
      <c r="H147">
        <v>0</v>
      </c>
      <c r="I147">
        <v>59</v>
      </c>
      <c r="J147">
        <v>360</v>
      </c>
      <c r="K147">
        <v>1</v>
      </c>
      <c r="L147" t="s">
        <v>632</v>
      </c>
      <c r="M147" t="s">
        <v>633</v>
      </c>
      <c r="N147">
        <f t="shared" si="2"/>
        <v>2479</v>
      </c>
    </row>
    <row r="148" spans="1:14" x14ac:dyDescent="0.3">
      <c r="A148" t="s">
        <v>849</v>
      </c>
      <c r="B148" t="s">
        <v>629</v>
      </c>
      <c r="C148" t="s">
        <v>630</v>
      </c>
      <c r="D148">
        <v>0</v>
      </c>
      <c r="E148" t="s">
        <v>631</v>
      </c>
      <c r="F148" t="s">
        <v>630</v>
      </c>
      <c r="G148">
        <v>3418</v>
      </c>
      <c r="H148">
        <v>0</v>
      </c>
      <c r="I148">
        <v>127</v>
      </c>
      <c r="J148">
        <v>360</v>
      </c>
      <c r="K148">
        <v>1</v>
      </c>
      <c r="L148" t="s">
        <v>646</v>
      </c>
      <c r="M148" t="s">
        <v>637</v>
      </c>
      <c r="N148">
        <f t="shared" si="2"/>
        <v>3418</v>
      </c>
    </row>
    <row r="149" spans="1:14" x14ac:dyDescent="0.3">
      <c r="A149" t="s">
        <v>850</v>
      </c>
      <c r="B149" t="s">
        <v>657</v>
      </c>
      <c r="C149" t="s">
        <v>630</v>
      </c>
      <c r="D149">
        <v>0</v>
      </c>
      <c r="E149" t="s">
        <v>631</v>
      </c>
      <c r="F149" t="s">
        <v>630</v>
      </c>
      <c r="G149">
        <v>10000</v>
      </c>
      <c r="H149">
        <v>0</v>
      </c>
      <c r="I149">
        <v>214</v>
      </c>
      <c r="J149">
        <v>360</v>
      </c>
      <c r="K149">
        <v>1</v>
      </c>
      <c r="L149" t="s">
        <v>646</v>
      </c>
      <c r="M149" t="s">
        <v>637</v>
      </c>
      <c r="N149">
        <f t="shared" si="2"/>
        <v>10000</v>
      </c>
    </row>
    <row r="150" spans="1:14" x14ac:dyDescent="0.3">
      <c r="A150" t="s">
        <v>851</v>
      </c>
      <c r="B150" t="s">
        <v>629</v>
      </c>
      <c r="C150" t="s">
        <v>635</v>
      </c>
      <c r="D150" t="s">
        <v>645</v>
      </c>
      <c r="E150" t="s">
        <v>631</v>
      </c>
      <c r="F150" t="s">
        <v>630</v>
      </c>
      <c r="G150">
        <v>3430</v>
      </c>
      <c r="H150">
        <v>1250</v>
      </c>
      <c r="I150">
        <v>128</v>
      </c>
      <c r="J150">
        <v>360</v>
      </c>
      <c r="K150">
        <v>0</v>
      </c>
      <c r="L150" t="s">
        <v>646</v>
      </c>
      <c r="M150" t="s">
        <v>637</v>
      </c>
      <c r="N150">
        <f t="shared" si="2"/>
        <v>4680</v>
      </c>
    </row>
    <row r="151" spans="1:14" x14ac:dyDescent="0.3">
      <c r="A151" t="s">
        <v>852</v>
      </c>
      <c r="B151" t="s">
        <v>629</v>
      </c>
      <c r="C151" t="s">
        <v>635</v>
      </c>
      <c r="D151">
        <v>1</v>
      </c>
      <c r="E151" t="s">
        <v>631</v>
      </c>
      <c r="F151" t="s">
        <v>635</v>
      </c>
      <c r="G151">
        <v>7787</v>
      </c>
      <c r="H151">
        <v>0</v>
      </c>
      <c r="I151">
        <v>240</v>
      </c>
      <c r="J151">
        <v>360</v>
      </c>
      <c r="K151">
        <v>1</v>
      </c>
      <c r="L151" t="s">
        <v>632</v>
      </c>
      <c r="M151" t="s">
        <v>633</v>
      </c>
      <c r="N151">
        <f t="shared" si="2"/>
        <v>7787</v>
      </c>
    </row>
    <row r="152" spans="1:14" x14ac:dyDescent="0.3">
      <c r="A152" t="s">
        <v>853</v>
      </c>
      <c r="B152" t="s">
        <v>629</v>
      </c>
      <c r="C152" t="s">
        <v>635</v>
      </c>
      <c r="D152" t="s">
        <v>645</v>
      </c>
      <c r="E152" t="s">
        <v>640</v>
      </c>
      <c r="F152" t="s">
        <v>635</v>
      </c>
      <c r="G152">
        <v>5703</v>
      </c>
      <c r="H152">
        <v>0</v>
      </c>
      <c r="I152">
        <v>130</v>
      </c>
      <c r="J152">
        <v>360</v>
      </c>
      <c r="K152">
        <v>1</v>
      </c>
      <c r="L152" t="s">
        <v>636</v>
      </c>
      <c r="M152" t="s">
        <v>633</v>
      </c>
      <c r="N152">
        <f t="shared" si="2"/>
        <v>5703</v>
      </c>
    </row>
    <row r="153" spans="1:14" x14ac:dyDescent="0.3">
      <c r="A153" t="s">
        <v>854</v>
      </c>
      <c r="B153" t="s">
        <v>629</v>
      </c>
      <c r="C153" t="s">
        <v>635</v>
      </c>
      <c r="D153">
        <v>0</v>
      </c>
      <c r="E153" t="s">
        <v>631</v>
      </c>
      <c r="F153" t="s">
        <v>630</v>
      </c>
      <c r="G153">
        <v>3173</v>
      </c>
      <c r="H153">
        <v>3021</v>
      </c>
      <c r="I153">
        <v>137</v>
      </c>
      <c r="J153">
        <v>360</v>
      </c>
      <c r="K153">
        <v>1</v>
      </c>
      <c r="L153" t="s">
        <v>632</v>
      </c>
      <c r="M153" t="s">
        <v>633</v>
      </c>
      <c r="N153">
        <f t="shared" si="2"/>
        <v>6194</v>
      </c>
    </row>
    <row r="154" spans="1:14" x14ac:dyDescent="0.3">
      <c r="A154" t="s">
        <v>855</v>
      </c>
      <c r="B154" t="s">
        <v>629</v>
      </c>
      <c r="C154" t="s">
        <v>635</v>
      </c>
      <c r="D154" t="s">
        <v>645</v>
      </c>
      <c r="E154" t="s">
        <v>640</v>
      </c>
      <c r="F154" t="s">
        <v>630</v>
      </c>
      <c r="G154">
        <v>3850</v>
      </c>
      <c r="H154">
        <v>983</v>
      </c>
      <c r="I154">
        <v>100</v>
      </c>
      <c r="J154">
        <v>360</v>
      </c>
      <c r="K154">
        <v>1</v>
      </c>
      <c r="L154" t="s">
        <v>646</v>
      </c>
      <c r="M154" t="s">
        <v>633</v>
      </c>
      <c r="N154">
        <f t="shared" si="2"/>
        <v>4833</v>
      </c>
    </row>
    <row r="155" spans="1:14" x14ac:dyDescent="0.3">
      <c r="A155" t="s">
        <v>856</v>
      </c>
      <c r="B155" t="s">
        <v>629</v>
      </c>
      <c r="C155" t="s">
        <v>635</v>
      </c>
      <c r="D155">
        <v>0</v>
      </c>
      <c r="E155" t="s">
        <v>631</v>
      </c>
      <c r="F155" t="s">
        <v>630</v>
      </c>
      <c r="G155">
        <v>150</v>
      </c>
      <c r="H155">
        <v>1800</v>
      </c>
      <c r="I155">
        <v>135</v>
      </c>
      <c r="J155">
        <v>360</v>
      </c>
      <c r="K155">
        <v>1</v>
      </c>
      <c r="L155" t="s">
        <v>636</v>
      </c>
      <c r="M155" t="s">
        <v>637</v>
      </c>
      <c r="N155">
        <f t="shared" si="2"/>
        <v>1950</v>
      </c>
    </row>
    <row r="156" spans="1:14" x14ac:dyDescent="0.3">
      <c r="A156" t="s">
        <v>857</v>
      </c>
      <c r="B156" t="s">
        <v>629</v>
      </c>
      <c r="C156" t="s">
        <v>635</v>
      </c>
      <c r="D156">
        <v>0</v>
      </c>
      <c r="E156" t="s">
        <v>631</v>
      </c>
      <c r="F156" t="s">
        <v>630</v>
      </c>
      <c r="G156">
        <v>3727</v>
      </c>
      <c r="H156">
        <v>1775</v>
      </c>
      <c r="I156">
        <v>131</v>
      </c>
      <c r="J156">
        <v>360</v>
      </c>
      <c r="K156">
        <v>1</v>
      </c>
      <c r="L156" t="s">
        <v>646</v>
      </c>
      <c r="M156" t="s">
        <v>633</v>
      </c>
      <c r="N156">
        <f t="shared" si="2"/>
        <v>5502</v>
      </c>
    </row>
    <row r="157" spans="1:14" x14ac:dyDescent="0.3">
      <c r="A157" t="s">
        <v>860</v>
      </c>
      <c r="B157" t="s">
        <v>629</v>
      </c>
      <c r="C157" t="s">
        <v>635</v>
      </c>
      <c r="D157">
        <v>0</v>
      </c>
      <c r="E157" t="s">
        <v>631</v>
      </c>
      <c r="F157" t="s">
        <v>630</v>
      </c>
      <c r="G157">
        <v>2221</v>
      </c>
      <c r="H157">
        <v>0</v>
      </c>
      <c r="I157">
        <v>60</v>
      </c>
      <c r="J157">
        <v>360</v>
      </c>
      <c r="K157">
        <v>0</v>
      </c>
      <c r="L157" t="s">
        <v>632</v>
      </c>
      <c r="M157" t="s">
        <v>637</v>
      </c>
      <c r="N157">
        <f t="shared" si="2"/>
        <v>2221</v>
      </c>
    </row>
    <row r="158" spans="1:14" x14ac:dyDescent="0.3">
      <c r="A158" t="s">
        <v>861</v>
      </c>
      <c r="B158" t="s">
        <v>629</v>
      </c>
      <c r="C158" t="s">
        <v>635</v>
      </c>
      <c r="D158">
        <v>2</v>
      </c>
      <c r="E158" t="s">
        <v>631</v>
      </c>
      <c r="F158" t="s">
        <v>630</v>
      </c>
      <c r="G158">
        <v>4009</v>
      </c>
      <c r="H158">
        <v>1717</v>
      </c>
      <c r="I158">
        <v>116</v>
      </c>
      <c r="J158">
        <v>360</v>
      </c>
      <c r="K158">
        <v>1</v>
      </c>
      <c r="L158" t="s">
        <v>646</v>
      </c>
      <c r="M158" t="s">
        <v>633</v>
      </c>
      <c r="N158">
        <f t="shared" si="2"/>
        <v>5726</v>
      </c>
    </row>
    <row r="159" spans="1:14" x14ac:dyDescent="0.3">
      <c r="A159" t="s">
        <v>862</v>
      </c>
      <c r="B159" t="s">
        <v>629</v>
      </c>
      <c r="C159" t="s">
        <v>630</v>
      </c>
      <c r="D159">
        <v>0</v>
      </c>
      <c r="E159" t="s">
        <v>631</v>
      </c>
      <c r="F159" t="s">
        <v>630</v>
      </c>
      <c r="G159">
        <v>2971</v>
      </c>
      <c r="H159">
        <v>2791</v>
      </c>
      <c r="I159">
        <v>144</v>
      </c>
      <c r="J159">
        <v>360</v>
      </c>
      <c r="K159">
        <v>1</v>
      </c>
      <c r="L159" t="s">
        <v>646</v>
      </c>
      <c r="M159" t="s">
        <v>633</v>
      </c>
      <c r="N159">
        <f t="shared" si="2"/>
        <v>5762</v>
      </c>
    </row>
    <row r="160" spans="1:14" x14ac:dyDescent="0.3">
      <c r="A160" t="s">
        <v>864</v>
      </c>
      <c r="B160" t="s">
        <v>629</v>
      </c>
      <c r="C160" t="s">
        <v>635</v>
      </c>
      <c r="D160">
        <v>0</v>
      </c>
      <c r="E160" t="s">
        <v>631</v>
      </c>
      <c r="F160" t="s">
        <v>630</v>
      </c>
      <c r="G160">
        <v>6250</v>
      </c>
      <c r="H160">
        <v>0</v>
      </c>
      <c r="I160">
        <v>128</v>
      </c>
      <c r="J160">
        <v>360</v>
      </c>
      <c r="K160">
        <v>1</v>
      </c>
      <c r="L160" t="s">
        <v>646</v>
      </c>
      <c r="M160" t="s">
        <v>633</v>
      </c>
      <c r="N160">
        <f t="shared" si="2"/>
        <v>6250</v>
      </c>
    </row>
    <row r="161" spans="1:14" x14ac:dyDescent="0.3">
      <c r="A161" t="s">
        <v>865</v>
      </c>
      <c r="B161" t="s">
        <v>629</v>
      </c>
      <c r="C161" t="s">
        <v>635</v>
      </c>
      <c r="D161">
        <v>0</v>
      </c>
      <c r="E161" t="s">
        <v>631</v>
      </c>
      <c r="F161" t="s">
        <v>630</v>
      </c>
      <c r="G161">
        <v>3250</v>
      </c>
      <c r="H161">
        <v>0</v>
      </c>
      <c r="I161">
        <v>170</v>
      </c>
      <c r="J161">
        <v>360</v>
      </c>
      <c r="K161">
        <v>1</v>
      </c>
      <c r="L161" t="s">
        <v>636</v>
      </c>
      <c r="M161" t="s">
        <v>637</v>
      </c>
      <c r="N161">
        <f t="shared" si="2"/>
        <v>3250</v>
      </c>
    </row>
    <row r="162" spans="1:14" x14ac:dyDescent="0.3">
      <c r="A162" t="s">
        <v>867</v>
      </c>
      <c r="B162" t="s">
        <v>629</v>
      </c>
      <c r="C162" t="s">
        <v>635</v>
      </c>
      <c r="D162">
        <v>2</v>
      </c>
      <c r="E162" t="s">
        <v>631</v>
      </c>
      <c r="F162" t="s">
        <v>630</v>
      </c>
      <c r="G162">
        <v>6250</v>
      </c>
      <c r="H162">
        <v>1695</v>
      </c>
      <c r="I162">
        <v>210</v>
      </c>
      <c r="J162">
        <v>360</v>
      </c>
      <c r="K162">
        <v>1</v>
      </c>
      <c r="L162" t="s">
        <v>646</v>
      </c>
      <c r="M162" t="s">
        <v>633</v>
      </c>
      <c r="N162">
        <f t="shared" si="2"/>
        <v>7945</v>
      </c>
    </row>
    <row r="163" spans="1:14" x14ac:dyDescent="0.3">
      <c r="A163" t="s">
        <v>869</v>
      </c>
      <c r="B163" t="s">
        <v>629</v>
      </c>
      <c r="C163" t="s">
        <v>630</v>
      </c>
      <c r="D163">
        <v>0</v>
      </c>
      <c r="E163" t="s">
        <v>631</v>
      </c>
      <c r="F163" t="s">
        <v>635</v>
      </c>
      <c r="G163">
        <v>6400</v>
      </c>
      <c r="H163">
        <v>0</v>
      </c>
      <c r="I163">
        <v>200</v>
      </c>
      <c r="J163">
        <v>360</v>
      </c>
      <c r="K163">
        <v>1</v>
      </c>
      <c r="L163" t="s">
        <v>636</v>
      </c>
      <c r="M163" t="s">
        <v>633</v>
      </c>
      <c r="N163">
        <f t="shared" si="2"/>
        <v>6400</v>
      </c>
    </row>
    <row r="164" spans="1:14" x14ac:dyDescent="0.3">
      <c r="A164" t="s">
        <v>870</v>
      </c>
      <c r="B164" t="s">
        <v>629</v>
      </c>
      <c r="C164" t="s">
        <v>635</v>
      </c>
      <c r="D164">
        <v>1</v>
      </c>
      <c r="E164" t="s">
        <v>631</v>
      </c>
      <c r="F164" t="s">
        <v>630</v>
      </c>
      <c r="G164">
        <v>2491</v>
      </c>
      <c r="H164">
        <v>2054</v>
      </c>
      <c r="I164">
        <v>104</v>
      </c>
      <c r="J164">
        <v>360</v>
      </c>
      <c r="K164">
        <v>1</v>
      </c>
      <c r="L164" t="s">
        <v>646</v>
      </c>
      <c r="M164" t="s">
        <v>633</v>
      </c>
      <c r="N164">
        <f t="shared" si="2"/>
        <v>4545</v>
      </c>
    </row>
    <row r="165" spans="1:14" x14ac:dyDescent="0.3">
      <c r="A165" t="s">
        <v>874</v>
      </c>
      <c r="B165" t="s">
        <v>629</v>
      </c>
      <c r="C165" t="s">
        <v>635</v>
      </c>
      <c r="D165">
        <v>1</v>
      </c>
      <c r="E165" t="s">
        <v>631</v>
      </c>
      <c r="F165" t="s">
        <v>630</v>
      </c>
      <c r="G165">
        <v>3155</v>
      </c>
      <c r="H165">
        <v>1779</v>
      </c>
      <c r="I165">
        <v>140</v>
      </c>
      <c r="J165">
        <v>360</v>
      </c>
      <c r="K165">
        <v>1</v>
      </c>
      <c r="L165" t="s">
        <v>646</v>
      </c>
      <c r="M165" t="s">
        <v>633</v>
      </c>
      <c r="N165">
        <f t="shared" si="2"/>
        <v>4934</v>
      </c>
    </row>
    <row r="166" spans="1:14" x14ac:dyDescent="0.3">
      <c r="A166" t="s">
        <v>875</v>
      </c>
      <c r="B166" t="s">
        <v>629</v>
      </c>
      <c r="C166" t="s">
        <v>635</v>
      </c>
      <c r="D166">
        <v>1</v>
      </c>
      <c r="E166" t="s">
        <v>631</v>
      </c>
      <c r="F166" t="s">
        <v>630</v>
      </c>
      <c r="G166">
        <v>5500</v>
      </c>
      <c r="H166">
        <v>1260</v>
      </c>
      <c r="I166">
        <v>170</v>
      </c>
      <c r="J166">
        <v>360</v>
      </c>
      <c r="K166">
        <v>1</v>
      </c>
      <c r="L166" t="s">
        <v>636</v>
      </c>
      <c r="M166" t="s">
        <v>633</v>
      </c>
      <c r="N166">
        <f t="shared" si="2"/>
        <v>6760</v>
      </c>
    </row>
    <row r="167" spans="1:14" x14ac:dyDescent="0.3">
      <c r="A167" t="s">
        <v>878</v>
      </c>
      <c r="B167" t="s">
        <v>657</v>
      </c>
      <c r="C167" t="s">
        <v>630</v>
      </c>
      <c r="D167">
        <v>1</v>
      </c>
      <c r="E167" t="s">
        <v>631</v>
      </c>
      <c r="F167" t="s">
        <v>630</v>
      </c>
      <c r="G167">
        <v>3812</v>
      </c>
      <c r="H167">
        <v>0</v>
      </c>
      <c r="I167">
        <v>112</v>
      </c>
      <c r="J167">
        <v>360</v>
      </c>
      <c r="K167">
        <v>1</v>
      </c>
      <c r="L167" t="s">
        <v>636</v>
      </c>
      <c r="M167" t="s">
        <v>633</v>
      </c>
      <c r="N167">
        <f t="shared" si="2"/>
        <v>3812</v>
      </c>
    </row>
    <row r="168" spans="1:14" x14ac:dyDescent="0.3">
      <c r="A168" t="s">
        <v>879</v>
      </c>
      <c r="B168" t="s">
        <v>629</v>
      </c>
      <c r="C168" t="s">
        <v>635</v>
      </c>
      <c r="D168">
        <v>1</v>
      </c>
      <c r="E168" t="s">
        <v>631</v>
      </c>
      <c r="F168" t="s">
        <v>630</v>
      </c>
      <c r="G168">
        <v>3315</v>
      </c>
      <c r="H168">
        <v>0</v>
      </c>
      <c r="I168">
        <v>96</v>
      </c>
      <c r="J168">
        <v>360</v>
      </c>
      <c r="K168">
        <v>1</v>
      </c>
      <c r="L168" t="s">
        <v>646</v>
      </c>
      <c r="M168" t="s">
        <v>633</v>
      </c>
      <c r="N168">
        <f t="shared" si="2"/>
        <v>3315</v>
      </c>
    </row>
    <row r="169" spans="1:14" x14ac:dyDescent="0.3">
      <c r="A169" t="s">
        <v>880</v>
      </c>
      <c r="B169" t="s">
        <v>629</v>
      </c>
      <c r="C169" t="s">
        <v>635</v>
      </c>
      <c r="D169">
        <v>2</v>
      </c>
      <c r="E169" t="s">
        <v>631</v>
      </c>
      <c r="F169" t="s">
        <v>630</v>
      </c>
      <c r="G169">
        <v>5819</v>
      </c>
      <c r="H169">
        <v>5000</v>
      </c>
      <c r="I169">
        <v>120</v>
      </c>
      <c r="J169">
        <v>360</v>
      </c>
      <c r="K169">
        <v>1</v>
      </c>
      <c r="L169" t="s">
        <v>636</v>
      </c>
      <c r="M169" t="s">
        <v>633</v>
      </c>
      <c r="N169">
        <f t="shared" si="2"/>
        <v>10819</v>
      </c>
    </row>
    <row r="170" spans="1:14" x14ac:dyDescent="0.3">
      <c r="A170" t="s">
        <v>881</v>
      </c>
      <c r="B170" t="s">
        <v>629</v>
      </c>
      <c r="C170" t="s">
        <v>635</v>
      </c>
      <c r="D170">
        <v>1</v>
      </c>
      <c r="E170" t="s">
        <v>640</v>
      </c>
      <c r="F170" t="s">
        <v>630</v>
      </c>
      <c r="G170">
        <v>2510</v>
      </c>
      <c r="H170">
        <v>1983</v>
      </c>
      <c r="I170">
        <v>140</v>
      </c>
      <c r="J170">
        <v>180</v>
      </c>
      <c r="K170">
        <v>1</v>
      </c>
      <c r="L170" t="s">
        <v>632</v>
      </c>
      <c r="M170" t="s">
        <v>637</v>
      </c>
      <c r="N170">
        <f t="shared" si="2"/>
        <v>4493</v>
      </c>
    </row>
    <row r="171" spans="1:14" x14ac:dyDescent="0.3">
      <c r="A171" t="s">
        <v>882</v>
      </c>
      <c r="B171" t="s">
        <v>629</v>
      </c>
      <c r="C171" t="s">
        <v>630</v>
      </c>
      <c r="D171">
        <v>0</v>
      </c>
      <c r="E171" t="s">
        <v>631</v>
      </c>
      <c r="F171" t="s">
        <v>630</v>
      </c>
      <c r="G171">
        <v>2965</v>
      </c>
      <c r="H171">
        <v>5701</v>
      </c>
      <c r="I171">
        <v>155</v>
      </c>
      <c r="J171">
        <v>60</v>
      </c>
      <c r="K171">
        <v>1</v>
      </c>
      <c r="L171" t="s">
        <v>632</v>
      </c>
      <c r="M171" t="s">
        <v>633</v>
      </c>
      <c r="N171">
        <f t="shared" si="2"/>
        <v>8666</v>
      </c>
    </row>
    <row r="172" spans="1:14" x14ac:dyDescent="0.3">
      <c r="A172" t="s">
        <v>883</v>
      </c>
      <c r="B172" t="s">
        <v>629</v>
      </c>
      <c r="C172" t="s">
        <v>635</v>
      </c>
      <c r="D172">
        <v>2</v>
      </c>
      <c r="E172" t="s">
        <v>631</v>
      </c>
      <c r="F172" t="s">
        <v>635</v>
      </c>
      <c r="G172">
        <v>6250</v>
      </c>
      <c r="H172">
        <v>1300</v>
      </c>
      <c r="I172">
        <v>108</v>
      </c>
      <c r="J172">
        <v>360</v>
      </c>
      <c r="K172">
        <v>1</v>
      </c>
      <c r="L172" t="s">
        <v>636</v>
      </c>
      <c r="M172" t="s">
        <v>633</v>
      </c>
      <c r="N172">
        <f t="shared" si="2"/>
        <v>7550</v>
      </c>
    </row>
    <row r="173" spans="1:14" x14ac:dyDescent="0.3">
      <c r="A173" t="s">
        <v>884</v>
      </c>
      <c r="B173" t="s">
        <v>629</v>
      </c>
      <c r="C173" t="s">
        <v>635</v>
      </c>
      <c r="D173">
        <v>0</v>
      </c>
      <c r="E173" t="s">
        <v>640</v>
      </c>
      <c r="F173" t="s">
        <v>630</v>
      </c>
      <c r="G173">
        <v>3406</v>
      </c>
      <c r="H173">
        <v>4417</v>
      </c>
      <c r="I173">
        <v>123</v>
      </c>
      <c r="J173">
        <v>360</v>
      </c>
      <c r="K173">
        <v>1</v>
      </c>
      <c r="L173" t="s">
        <v>646</v>
      </c>
      <c r="M173" t="s">
        <v>633</v>
      </c>
      <c r="N173">
        <f t="shared" si="2"/>
        <v>7823</v>
      </c>
    </row>
    <row r="174" spans="1:14" x14ac:dyDescent="0.3">
      <c r="A174" t="s">
        <v>885</v>
      </c>
      <c r="B174" t="s">
        <v>629</v>
      </c>
      <c r="C174" t="s">
        <v>630</v>
      </c>
      <c r="D174">
        <v>0</v>
      </c>
      <c r="E174" t="s">
        <v>631</v>
      </c>
      <c r="F174" t="s">
        <v>635</v>
      </c>
      <c r="G174">
        <v>6050</v>
      </c>
      <c r="H174">
        <v>4333</v>
      </c>
      <c r="I174">
        <v>120</v>
      </c>
      <c r="J174">
        <v>180</v>
      </c>
      <c r="K174">
        <v>1</v>
      </c>
      <c r="L174" t="s">
        <v>632</v>
      </c>
      <c r="M174" t="s">
        <v>637</v>
      </c>
      <c r="N174">
        <f t="shared" si="2"/>
        <v>10383</v>
      </c>
    </row>
    <row r="175" spans="1:14" x14ac:dyDescent="0.3">
      <c r="A175" t="s">
        <v>886</v>
      </c>
      <c r="B175" t="s">
        <v>629</v>
      </c>
      <c r="C175" t="s">
        <v>635</v>
      </c>
      <c r="D175">
        <v>2</v>
      </c>
      <c r="E175" t="s">
        <v>631</v>
      </c>
      <c r="F175" t="s">
        <v>630</v>
      </c>
      <c r="G175">
        <v>9703</v>
      </c>
      <c r="H175">
        <v>0</v>
      </c>
      <c r="I175">
        <v>112</v>
      </c>
      <c r="J175">
        <v>360</v>
      </c>
      <c r="K175">
        <v>1</v>
      </c>
      <c r="L175" t="s">
        <v>632</v>
      </c>
      <c r="M175" t="s">
        <v>633</v>
      </c>
      <c r="N175">
        <f t="shared" si="2"/>
        <v>9703</v>
      </c>
    </row>
    <row r="176" spans="1:14" x14ac:dyDescent="0.3">
      <c r="A176" t="s">
        <v>887</v>
      </c>
      <c r="B176" t="s">
        <v>629</v>
      </c>
      <c r="C176" t="s">
        <v>635</v>
      </c>
      <c r="D176">
        <v>1</v>
      </c>
      <c r="E176" t="s">
        <v>640</v>
      </c>
      <c r="F176" t="s">
        <v>630</v>
      </c>
      <c r="G176">
        <v>6608</v>
      </c>
      <c r="H176">
        <v>0</v>
      </c>
      <c r="I176">
        <v>137</v>
      </c>
      <c r="J176">
        <v>180</v>
      </c>
      <c r="K176">
        <v>1</v>
      </c>
      <c r="L176" t="s">
        <v>632</v>
      </c>
      <c r="M176" t="s">
        <v>633</v>
      </c>
      <c r="N176">
        <f t="shared" si="2"/>
        <v>6608</v>
      </c>
    </row>
    <row r="177" spans="1:14" x14ac:dyDescent="0.3">
      <c r="A177" t="s">
        <v>888</v>
      </c>
      <c r="B177" t="s">
        <v>629</v>
      </c>
      <c r="C177" t="s">
        <v>635</v>
      </c>
      <c r="D177">
        <v>1</v>
      </c>
      <c r="E177" t="s">
        <v>631</v>
      </c>
      <c r="F177" t="s">
        <v>630</v>
      </c>
      <c r="G177">
        <v>2882</v>
      </c>
      <c r="H177">
        <v>1843</v>
      </c>
      <c r="I177">
        <v>123</v>
      </c>
      <c r="J177">
        <v>480</v>
      </c>
      <c r="K177">
        <v>1</v>
      </c>
      <c r="L177" t="s">
        <v>646</v>
      </c>
      <c r="M177" t="s">
        <v>633</v>
      </c>
      <c r="N177">
        <f t="shared" si="2"/>
        <v>4725</v>
      </c>
    </row>
    <row r="178" spans="1:14" x14ac:dyDescent="0.3">
      <c r="A178" t="s">
        <v>889</v>
      </c>
      <c r="B178" t="s">
        <v>629</v>
      </c>
      <c r="C178" t="s">
        <v>635</v>
      </c>
      <c r="D178">
        <v>0</v>
      </c>
      <c r="E178" t="s">
        <v>631</v>
      </c>
      <c r="F178" t="s">
        <v>630</v>
      </c>
      <c r="G178">
        <v>1809</v>
      </c>
      <c r="H178">
        <v>1868</v>
      </c>
      <c r="I178">
        <v>90</v>
      </c>
      <c r="J178">
        <v>360</v>
      </c>
      <c r="K178">
        <v>1</v>
      </c>
      <c r="L178" t="s">
        <v>632</v>
      </c>
      <c r="M178" t="s">
        <v>633</v>
      </c>
      <c r="N178">
        <f t="shared" si="2"/>
        <v>3677</v>
      </c>
    </row>
    <row r="179" spans="1:14" x14ac:dyDescent="0.3">
      <c r="A179" t="s">
        <v>890</v>
      </c>
      <c r="B179" t="s">
        <v>629</v>
      </c>
      <c r="C179" t="s">
        <v>635</v>
      </c>
      <c r="D179">
        <v>0</v>
      </c>
      <c r="E179" t="s">
        <v>640</v>
      </c>
      <c r="F179" t="s">
        <v>630</v>
      </c>
      <c r="G179">
        <v>1668</v>
      </c>
      <c r="H179">
        <v>3890</v>
      </c>
      <c r="I179">
        <v>201</v>
      </c>
      <c r="J179">
        <v>360</v>
      </c>
      <c r="K179">
        <v>0</v>
      </c>
      <c r="L179" t="s">
        <v>646</v>
      </c>
      <c r="M179" t="s">
        <v>637</v>
      </c>
      <c r="N179">
        <f t="shared" si="2"/>
        <v>5558</v>
      </c>
    </row>
    <row r="180" spans="1:14" x14ac:dyDescent="0.3">
      <c r="A180" t="s">
        <v>891</v>
      </c>
      <c r="B180" t="s">
        <v>657</v>
      </c>
      <c r="C180" t="s">
        <v>630</v>
      </c>
      <c r="D180">
        <v>2</v>
      </c>
      <c r="E180" t="s">
        <v>631</v>
      </c>
      <c r="F180" t="s">
        <v>630</v>
      </c>
      <c r="G180">
        <v>3427</v>
      </c>
      <c r="H180">
        <v>0</v>
      </c>
      <c r="I180">
        <v>138</v>
      </c>
      <c r="J180">
        <v>360</v>
      </c>
      <c r="K180">
        <v>1</v>
      </c>
      <c r="L180" t="s">
        <v>632</v>
      </c>
      <c r="M180" t="s">
        <v>637</v>
      </c>
      <c r="N180">
        <f t="shared" si="2"/>
        <v>3427</v>
      </c>
    </row>
    <row r="181" spans="1:14" x14ac:dyDescent="0.3">
      <c r="A181" t="s">
        <v>892</v>
      </c>
      <c r="B181" t="s">
        <v>629</v>
      </c>
      <c r="C181" t="s">
        <v>630</v>
      </c>
      <c r="D181">
        <v>0</v>
      </c>
      <c r="E181" t="s">
        <v>640</v>
      </c>
      <c r="F181" t="s">
        <v>635</v>
      </c>
      <c r="G181">
        <v>2583</v>
      </c>
      <c r="H181">
        <v>2167</v>
      </c>
      <c r="I181">
        <v>104</v>
      </c>
      <c r="J181">
        <v>360</v>
      </c>
      <c r="K181">
        <v>1</v>
      </c>
      <c r="L181" t="s">
        <v>636</v>
      </c>
      <c r="M181" t="s">
        <v>633</v>
      </c>
      <c r="N181">
        <f t="shared" si="2"/>
        <v>4750</v>
      </c>
    </row>
    <row r="182" spans="1:14" x14ac:dyDescent="0.3">
      <c r="A182" t="s">
        <v>894</v>
      </c>
      <c r="B182" t="s">
        <v>629</v>
      </c>
      <c r="C182" t="s">
        <v>630</v>
      </c>
      <c r="D182">
        <v>0</v>
      </c>
      <c r="E182" t="s">
        <v>631</v>
      </c>
      <c r="F182" t="s">
        <v>635</v>
      </c>
      <c r="G182">
        <v>16250</v>
      </c>
      <c r="H182">
        <v>0</v>
      </c>
      <c r="I182">
        <v>192</v>
      </c>
      <c r="J182">
        <v>360</v>
      </c>
      <c r="K182">
        <v>0</v>
      </c>
      <c r="L182" t="s">
        <v>632</v>
      </c>
      <c r="M182" t="s">
        <v>637</v>
      </c>
      <c r="N182">
        <f t="shared" si="2"/>
        <v>16250</v>
      </c>
    </row>
    <row r="183" spans="1:14" x14ac:dyDescent="0.3">
      <c r="A183" t="s">
        <v>895</v>
      </c>
      <c r="B183" t="s">
        <v>657</v>
      </c>
      <c r="C183" t="s">
        <v>630</v>
      </c>
      <c r="D183" t="s">
        <v>645</v>
      </c>
      <c r="E183" t="s">
        <v>631</v>
      </c>
      <c r="F183" t="s">
        <v>630</v>
      </c>
      <c r="G183">
        <v>3083</v>
      </c>
      <c r="H183">
        <v>0</v>
      </c>
      <c r="I183">
        <v>255</v>
      </c>
      <c r="J183">
        <v>360</v>
      </c>
      <c r="K183">
        <v>1</v>
      </c>
      <c r="L183" t="s">
        <v>636</v>
      </c>
      <c r="M183" t="s">
        <v>633</v>
      </c>
      <c r="N183">
        <f t="shared" si="2"/>
        <v>3083</v>
      </c>
    </row>
    <row r="184" spans="1:14" x14ac:dyDescent="0.3">
      <c r="A184" t="s">
        <v>896</v>
      </c>
      <c r="B184" t="s">
        <v>629</v>
      </c>
      <c r="C184" t="s">
        <v>630</v>
      </c>
      <c r="D184">
        <v>0</v>
      </c>
      <c r="E184" t="s">
        <v>640</v>
      </c>
      <c r="F184" t="s">
        <v>630</v>
      </c>
      <c r="G184">
        <v>6045</v>
      </c>
      <c r="H184">
        <v>0</v>
      </c>
      <c r="I184">
        <v>115</v>
      </c>
      <c r="J184">
        <v>360</v>
      </c>
      <c r="K184">
        <v>0</v>
      </c>
      <c r="L184" t="s">
        <v>636</v>
      </c>
      <c r="M184" t="s">
        <v>637</v>
      </c>
      <c r="N184">
        <f t="shared" si="2"/>
        <v>6045</v>
      </c>
    </row>
    <row r="185" spans="1:14" x14ac:dyDescent="0.3">
      <c r="A185" t="s">
        <v>897</v>
      </c>
      <c r="B185" t="s">
        <v>629</v>
      </c>
      <c r="C185" t="s">
        <v>635</v>
      </c>
      <c r="D185" t="s">
        <v>645</v>
      </c>
      <c r="E185" t="s">
        <v>631</v>
      </c>
      <c r="F185" t="s">
        <v>630</v>
      </c>
      <c r="G185">
        <v>5250</v>
      </c>
      <c r="H185">
        <v>0</v>
      </c>
      <c r="I185">
        <v>94</v>
      </c>
      <c r="J185">
        <v>360</v>
      </c>
      <c r="K185">
        <v>1</v>
      </c>
      <c r="L185" t="s">
        <v>632</v>
      </c>
      <c r="M185" t="s">
        <v>637</v>
      </c>
      <c r="N185">
        <f t="shared" si="2"/>
        <v>5250</v>
      </c>
    </row>
    <row r="186" spans="1:14" x14ac:dyDescent="0.3">
      <c r="A186" t="s">
        <v>901</v>
      </c>
      <c r="B186" t="s">
        <v>629</v>
      </c>
      <c r="C186" t="s">
        <v>630</v>
      </c>
      <c r="D186">
        <v>0</v>
      </c>
      <c r="E186" t="s">
        <v>631</v>
      </c>
      <c r="F186" t="s">
        <v>630</v>
      </c>
      <c r="G186">
        <v>2060</v>
      </c>
      <c r="H186">
        <v>2209</v>
      </c>
      <c r="I186">
        <v>134</v>
      </c>
      <c r="J186">
        <v>360</v>
      </c>
      <c r="K186">
        <v>1</v>
      </c>
      <c r="L186" t="s">
        <v>646</v>
      </c>
      <c r="M186" t="s">
        <v>633</v>
      </c>
      <c r="N186">
        <f t="shared" si="2"/>
        <v>4269</v>
      </c>
    </row>
    <row r="187" spans="1:14" x14ac:dyDescent="0.3">
      <c r="A187" t="s">
        <v>902</v>
      </c>
      <c r="B187" t="s">
        <v>657</v>
      </c>
      <c r="C187" t="s">
        <v>630</v>
      </c>
      <c r="D187">
        <v>1</v>
      </c>
      <c r="E187" t="s">
        <v>631</v>
      </c>
      <c r="F187" t="s">
        <v>630</v>
      </c>
      <c r="G187">
        <v>3481</v>
      </c>
      <c r="H187">
        <v>0</v>
      </c>
      <c r="I187">
        <v>155</v>
      </c>
      <c r="J187">
        <v>36</v>
      </c>
      <c r="K187">
        <v>1</v>
      </c>
      <c r="L187" t="s">
        <v>646</v>
      </c>
      <c r="M187" t="s">
        <v>637</v>
      </c>
      <c r="N187">
        <f t="shared" si="2"/>
        <v>3481</v>
      </c>
    </row>
    <row r="188" spans="1:14" x14ac:dyDescent="0.3">
      <c r="A188" t="s">
        <v>903</v>
      </c>
      <c r="B188" t="s">
        <v>657</v>
      </c>
      <c r="C188" t="s">
        <v>630</v>
      </c>
      <c r="D188">
        <v>0</v>
      </c>
      <c r="E188" t="s">
        <v>631</v>
      </c>
      <c r="F188" t="s">
        <v>630</v>
      </c>
      <c r="G188">
        <v>7200</v>
      </c>
      <c r="H188">
        <v>0</v>
      </c>
      <c r="I188">
        <v>120</v>
      </c>
      <c r="J188">
        <v>360</v>
      </c>
      <c r="K188">
        <v>1</v>
      </c>
      <c r="L188" t="s">
        <v>636</v>
      </c>
      <c r="M188" t="s">
        <v>633</v>
      </c>
      <c r="N188">
        <f t="shared" si="2"/>
        <v>7200</v>
      </c>
    </row>
    <row r="189" spans="1:14" x14ac:dyDescent="0.3">
      <c r="A189" t="s">
        <v>904</v>
      </c>
      <c r="B189" t="s">
        <v>629</v>
      </c>
      <c r="C189" t="s">
        <v>630</v>
      </c>
      <c r="D189">
        <v>0</v>
      </c>
      <c r="E189" t="s">
        <v>631</v>
      </c>
      <c r="F189" t="s">
        <v>635</v>
      </c>
      <c r="G189">
        <v>5166</v>
      </c>
      <c r="H189">
        <v>0</v>
      </c>
      <c r="I189">
        <v>128</v>
      </c>
      <c r="J189">
        <v>360</v>
      </c>
      <c r="K189">
        <v>1</v>
      </c>
      <c r="L189" t="s">
        <v>646</v>
      </c>
      <c r="M189" t="s">
        <v>633</v>
      </c>
      <c r="N189">
        <f t="shared" si="2"/>
        <v>5166</v>
      </c>
    </row>
    <row r="190" spans="1:14" x14ac:dyDescent="0.3">
      <c r="A190" t="s">
        <v>905</v>
      </c>
      <c r="B190" t="s">
        <v>629</v>
      </c>
      <c r="C190" t="s">
        <v>630</v>
      </c>
      <c r="D190">
        <v>0</v>
      </c>
      <c r="E190" t="s">
        <v>631</v>
      </c>
      <c r="F190" t="s">
        <v>630</v>
      </c>
      <c r="G190">
        <v>4095</v>
      </c>
      <c r="H190">
        <v>3447</v>
      </c>
      <c r="I190">
        <v>151</v>
      </c>
      <c r="J190">
        <v>360</v>
      </c>
      <c r="K190">
        <v>1</v>
      </c>
      <c r="L190" t="s">
        <v>636</v>
      </c>
      <c r="M190" t="s">
        <v>633</v>
      </c>
      <c r="N190">
        <f t="shared" si="2"/>
        <v>7542</v>
      </c>
    </row>
    <row r="191" spans="1:14" x14ac:dyDescent="0.3">
      <c r="A191" t="s">
        <v>906</v>
      </c>
      <c r="B191" t="s">
        <v>629</v>
      </c>
      <c r="C191" t="s">
        <v>635</v>
      </c>
      <c r="D191">
        <v>2</v>
      </c>
      <c r="E191" t="s">
        <v>631</v>
      </c>
      <c r="F191" t="s">
        <v>630</v>
      </c>
      <c r="G191">
        <v>4708</v>
      </c>
      <c r="H191">
        <v>1387</v>
      </c>
      <c r="I191">
        <v>150</v>
      </c>
      <c r="J191">
        <v>360</v>
      </c>
      <c r="K191">
        <v>1</v>
      </c>
      <c r="L191" t="s">
        <v>646</v>
      </c>
      <c r="M191" t="s">
        <v>633</v>
      </c>
      <c r="N191">
        <f t="shared" si="2"/>
        <v>6095</v>
      </c>
    </row>
    <row r="192" spans="1:14" x14ac:dyDescent="0.3">
      <c r="A192" t="s">
        <v>907</v>
      </c>
      <c r="B192" t="s">
        <v>629</v>
      </c>
      <c r="C192" t="s">
        <v>635</v>
      </c>
      <c r="D192" t="s">
        <v>645</v>
      </c>
      <c r="E192" t="s">
        <v>631</v>
      </c>
      <c r="F192" t="s">
        <v>630</v>
      </c>
      <c r="G192">
        <v>4333</v>
      </c>
      <c r="H192">
        <v>1811</v>
      </c>
      <c r="I192">
        <v>160</v>
      </c>
      <c r="J192">
        <v>360</v>
      </c>
      <c r="K192">
        <v>0</v>
      </c>
      <c r="L192" t="s">
        <v>632</v>
      </c>
      <c r="M192" t="s">
        <v>633</v>
      </c>
      <c r="N192">
        <f t="shared" si="2"/>
        <v>6144</v>
      </c>
    </row>
    <row r="193" spans="1:14" x14ac:dyDescent="0.3">
      <c r="A193" t="s">
        <v>909</v>
      </c>
      <c r="B193" t="s">
        <v>657</v>
      </c>
      <c r="C193" t="s">
        <v>630</v>
      </c>
      <c r="D193">
        <v>1</v>
      </c>
      <c r="E193" t="s">
        <v>631</v>
      </c>
      <c r="F193" t="s">
        <v>630</v>
      </c>
      <c r="G193">
        <v>2876</v>
      </c>
      <c r="H193">
        <v>1560</v>
      </c>
      <c r="I193">
        <v>90</v>
      </c>
      <c r="J193">
        <v>360</v>
      </c>
      <c r="K193">
        <v>1</v>
      </c>
      <c r="L193" t="s">
        <v>632</v>
      </c>
      <c r="M193" t="s">
        <v>633</v>
      </c>
      <c r="N193">
        <f t="shared" si="2"/>
        <v>4436</v>
      </c>
    </row>
    <row r="194" spans="1:14" x14ac:dyDescent="0.3">
      <c r="A194" t="s">
        <v>910</v>
      </c>
      <c r="B194" t="s">
        <v>657</v>
      </c>
      <c r="C194" t="s">
        <v>630</v>
      </c>
      <c r="D194">
        <v>0</v>
      </c>
      <c r="E194" t="s">
        <v>631</v>
      </c>
      <c r="F194" t="s">
        <v>630</v>
      </c>
      <c r="G194">
        <v>3237</v>
      </c>
      <c r="H194">
        <v>0</v>
      </c>
      <c r="I194">
        <v>30</v>
      </c>
      <c r="J194">
        <v>360</v>
      </c>
      <c r="K194">
        <v>1</v>
      </c>
      <c r="L194" t="s">
        <v>632</v>
      </c>
      <c r="M194" t="s">
        <v>633</v>
      </c>
      <c r="N194">
        <f t="shared" si="2"/>
        <v>3237</v>
      </c>
    </row>
    <row r="195" spans="1:14" x14ac:dyDescent="0.3">
      <c r="A195" t="s">
        <v>911</v>
      </c>
      <c r="B195" t="s">
        <v>629</v>
      </c>
      <c r="C195" t="s">
        <v>635</v>
      </c>
      <c r="D195">
        <v>0</v>
      </c>
      <c r="E195" t="s">
        <v>631</v>
      </c>
      <c r="F195" t="s">
        <v>630</v>
      </c>
      <c r="G195">
        <v>11146</v>
      </c>
      <c r="H195">
        <v>0</v>
      </c>
      <c r="I195">
        <v>136</v>
      </c>
      <c r="J195">
        <v>360</v>
      </c>
      <c r="K195">
        <v>1</v>
      </c>
      <c r="L195" t="s">
        <v>632</v>
      </c>
      <c r="M195" t="s">
        <v>633</v>
      </c>
      <c r="N195">
        <f t="shared" ref="N195:N258" si="3">G195+H195</f>
        <v>11146</v>
      </c>
    </row>
    <row r="196" spans="1:14" x14ac:dyDescent="0.3">
      <c r="A196" t="s">
        <v>912</v>
      </c>
      <c r="B196" t="s">
        <v>629</v>
      </c>
      <c r="C196" t="s">
        <v>630</v>
      </c>
      <c r="D196">
        <v>0</v>
      </c>
      <c r="E196" t="s">
        <v>631</v>
      </c>
      <c r="F196" t="s">
        <v>630</v>
      </c>
      <c r="G196">
        <v>2833</v>
      </c>
      <c r="H196">
        <v>1857</v>
      </c>
      <c r="I196">
        <v>126</v>
      </c>
      <c r="J196">
        <v>360</v>
      </c>
      <c r="K196">
        <v>1</v>
      </c>
      <c r="L196" t="s">
        <v>636</v>
      </c>
      <c r="M196" t="s">
        <v>633</v>
      </c>
      <c r="N196">
        <f t="shared" si="3"/>
        <v>4690</v>
      </c>
    </row>
    <row r="197" spans="1:14" x14ac:dyDescent="0.3">
      <c r="A197" t="s">
        <v>913</v>
      </c>
      <c r="B197" t="s">
        <v>629</v>
      </c>
      <c r="C197" t="s">
        <v>635</v>
      </c>
      <c r="D197">
        <v>0</v>
      </c>
      <c r="E197" t="s">
        <v>631</v>
      </c>
      <c r="F197" t="s">
        <v>630</v>
      </c>
      <c r="G197">
        <v>2620</v>
      </c>
      <c r="H197">
        <v>2223</v>
      </c>
      <c r="I197">
        <v>150</v>
      </c>
      <c r="J197">
        <v>360</v>
      </c>
      <c r="K197">
        <v>1</v>
      </c>
      <c r="L197" t="s">
        <v>646</v>
      </c>
      <c r="M197" t="s">
        <v>633</v>
      </c>
      <c r="N197">
        <f t="shared" si="3"/>
        <v>4843</v>
      </c>
    </row>
    <row r="198" spans="1:14" x14ac:dyDescent="0.3">
      <c r="A198" t="s">
        <v>914</v>
      </c>
      <c r="B198" t="s">
        <v>629</v>
      </c>
      <c r="C198" t="s">
        <v>635</v>
      </c>
      <c r="D198">
        <v>2</v>
      </c>
      <c r="E198" t="s">
        <v>631</v>
      </c>
      <c r="F198" t="s">
        <v>630</v>
      </c>
      <c r="G198">
        <v>3900</v>
      </c>
      <c r="H198">
        <v>0</v>
      </c>
      <c r="I198">
        <v>90</v>
      </c>
      <c r="J198">
        <v>360</v>
      </c>
      <c r="K198">
        <v>1</v>
      </c>
      <c r="L198" t="s">
        <v>646</v>
      </c>
      <c r="M198" t="s">
        <v>633</v>
      </c>
      <c r="N198">
        <f t="shared" si="3"/>
        <v>3900</v>
      </c>
    </row>
    <row r="199" spans="1:14" x14ac:dyDescent="0.3">
      <c r="A199" t="s">
        <v>915</v>
      </c>
      <c r="B199" t="s">
        <v>629</v>
      </c>
      <c r="C199" t="s">
        <v>635</v>
      </c>
      <c r="D199">
        <v>1</v>
      </c>
      <c r="E199" t="s">
        <v>631</v>
      </c>
      <c r="F199" t="s">
        <v>630</v>
      </c>
      <c r="G199">
        <v>2750</v>
      </c>
      <c r="H199">
        <v>1842</v>
      </c>
      <c r="I199">
        <v>115</v>
      </c>
      <c r="J199">
        <v>360</v>
      </c>
      <c r="K199">
        <v>1</v>
      </c>
      <c r="L199" t="s">
        <v>646</v>
      </c>
      <c r="M199" t="s">
        <v>633</v>
      </c>
      <c r="N199">
        <f t="shared" si="3"/>
        <v>4592</v>
      </c>
    </row>
    <row r="200" spans="1:14" x14ac:dyDescent="0.3">
      <c r="A200" t="s">
        <v>916</v>
      </c>
      <c r="B200" t="s">
        <v>629</v>
      </c>
      <c r="C200" t="s">
        <v>635</v>
      </c>
      <c r="D200">
        <v>0</v>
      </c>
      <c r="E200" t="s">
        <v>631</v>
      </c>
      <c r="F200" t="s">
        <v>630</v>
      </c>
      <c r="G200">
        <v>3993</v>
      </c>
      <c r="H200">
        <v>3274</v>
      </c>
      <c r="I200">
        <v>207</v>
      </c>
      <c r="J200">
        <v>360</v>
      </c>
      <c r="K200">
        <v>1</v>
      </c>
      <c r="L200" t="s">
        <v>646</v>
      </c>
      <c r="M200" t="s">
        <v>633</v>
      </c>
      <c r="N200">
        <f t="shared" si="3"/>
        <v>7267</v>
      </c>
    </row>
    <row r="201" spans="1:14" x14ac:dyDescent="0.3">
      <c r="A201" t="s">
        <v>917</v>
      </c>
      <c r="B201" t="s">
        <v>629</v>
      </c>
      <c r="C201" t="s">
        <v>635</v>
      </c>
      <c r="D201">
        <v>0</v>
      </c>
      <c r="E201" t="s">
        <v>631</v>
      </c>
      <c r="F201" t="s">
        <v>630</v>
      </c>
      <c r="G201">
        <v>3103</v>
      </c>
      <c r="H201">
        <v>1300</v>
      </c>
      <c r="I201">
        <v>80</v>
      </c>
      <c r="J201">
        <v>360</v>
      </c>
      <c r="K201">
        <v>1</v>
      </c>
      <c r="L201" t="s">
        <v>632</v>
      </c>
      <c r="M201" t="s">
        <v>633</v>
      </c>
      <c r="N201">
        <f t="shared" si="3"/>
        <v>4403</v>
      </c>
    </row>
    <row r="202" spans="1:14" x14ac:dyDescent="0.3">
      <c r="A202" t="s">
        <v>920</v>
      </c>
      <c r="B202" t="s">
        <v>629</v>
      </c>
      <c r="C202" t="s">
        <v>630</v>
      </c>
      <c r="D202">
        <v>1</v>
      </c>
      <c r="E202" t="s">
        <v>640</v>
      </c>
      <c r="F202" t="s">
        <v>635</v>
      </c>
      <c r="G202">
        <v>4053</v>
      </c>
      <c r="H202">
        <v>2426</v>
      </c>
      <c r="I202">
        <v>158</v>
      </c>
      <c r="J202">
        <v>360</v>
      </c>
      <c r="K202">
        <v>0</v>
      </c>
      <c r="L202" t="s">
        <v>632</v>
      </c>
      <c r="M202" t="s">
        <v>637</v>
      </c>
      <c r="N202">
        <f t="shared" si="3"/>
        <v>6479</v>
      </c>
    </row>
    <row r="203" spans="1:14" x14ac:dyDescent="0.3">
      <c r="A203" t="s">
        <v>921</v>
      </c>
      <c r="B203" t="s">
        <v>629</v>
      </c>
      <c r="C203" t="s">
        <v>635</v>
      </c>
      <c r="D203">
        <v>0</v>
      </c>
      <c r="E203" t="s">
        <v>631</v>
      </c>
      <c r="F203" t="s">
        <v>630</v>
      </c>
      <c r="G203">
        <v>3927</v>
      </c>
      <c r="H203">
        <v>800</v>
      </c>
      <c r="I203">
        <v>112</v>
      </c>
      <c r="J203">
        <v>360</v>
      </c>
      <c r="K203">
        <v>1</v>
      </c>
      <c r="L203" t="s">
        <v>646</v>
      </c>
      <c r="M203" t="s">
        <v>633</v>
      </c>
      <c r="N203">
        <f t="shared" si="3"/>
        <v>4727</v>
      </c>
    </row>
    <row r="204" spans="1:14" x14ac:dyDescent="0.3">
      <c r="A204" t="s">
        <v>922</v>
      </c>
      <c r="B204" t="s">
        <v>629</v>
      </c>
      <c r="C204" t="s">
        <v>635</v>
      </c>
      <c r="D204">
        <v>2</v>
      </c>
      <c r="E204" t="s">
        <v>631</v>
      </c>
      <c r="F204" t="s">
        <v>630</v>
      </c>
      <c r="G204">
        <v>2301</v>
      </c>
      <c r="H204" s="1">
        <v>9857999878</v>
      </c>
      <c r="I204">
        <v>78</v>
      </c>
      <c r="J204">
        <v>180</v>
      </c>
      <c r="K204">
        <v>1</v>
      </c>
      <c r="L204" t="s">
        <v>632</v>
      </c>
      <c r="M204" t="s">
        <v>633</v>
      </c>
      <c r="N204">
        <f t="shared" si="3"/>
        <v>9858002179</v>
      </c>
    </row>
    <row r="205" spans="1:14" x14ac:dyDescent="0.3">
      <c r="A205" t="s">
        <v>923</v>
      </c>
      <c r="B205" t="s">
        <v>657</v>
      </c>
      <c r="C205" t="s">
        <v>630</v>
      </c>
      <c r="D205">
        <v>0</v>
      </c>
      <c r="E205" t="s">
        <v>631</v>
      </c>
      <c r="F205" t="s">
        <v>630</v>
      </c>
      <c r="G205">
        <v>1811</v>
      </c>
      <c r="H205">
        <v>1666</v>
      </c>
      <c r="I205">
        <v>54</v>
      </c>
      <c r="J205">
        <v>360</v>
      </c>
      <c r="K205">
        <v>1</v>
      </c>
      <c r="L205" t="s">
        <v>632</v>
      </c>
      <c r="M205" t="s">
        <v>633</v>
      </c>
      <c r="N205">
        <f t="shared" si="3"/>
        <v>3477</v>
      </c>
    </row>
    <row r="206" spans="1:14" x14ac:dyDescent="0.3">
      <c r="A206" t="s">
        <v>925</v>
      </c>
      <c r="B206" t="s">
        <v>629</v>
      </c>
      <c r="C206" t="s">
        <v>630</v>
      </c>
      <c r="D206">
        <v>0</v>
      </c>
      <c r="E206" t="s">
        <v>631</v>
      </c>
      <c r="F206" t="s">
        <v>630</v>
      </c>
      <c r="G206">
        <v>3158</v>
      </c>
      <c r="H206">
        <v>3053</v>
      </c>
      <c r="I206">
        <v>89</v>
      </c>
      <c r="J206">
        <v>360</v>
      </c>
      <c r="K206">
        <v>1</v>
      </c>
      <c r="L206" t="s">
        <v>636</v>
      </c>
      <c r="M206" t="s">
        <v>633</v>
      </c>
      <c r="N206">
        <f t="shared" si="3"/>
        <v>6211</v>
      </c>
    </row>
    <row r="207" spans="1:14" x14ac:dyDescent="0.3">
      <c r="A207" t="s">
        <v>926</v>
      </c>
      <c r="B207" t="s">
        <v>657</v>
      </c>
      <c r="C207" t="s">
        <v>630</v>
      </c>
      <c r="D207">
        <v>0</v>
      </c>
      <c r="E207" t="s">
        <v>631</v>
      </c>
      <c r="F207" t="s">
        <v>635</v>
      </c>
      <c r="G207">
        <v>2600</v>
      </c>
      <c r="H207">
        <v>1717</v>
      </c>
      <c r="I207">
        <v>99</v>
      </c>
      <c r="J207">
        <v>300</v>
      </c>
      <c r="K207">
        <v>1</v>
      </c>
      <c r="L207" t="s">
        <v>646</v>
      </c>
      <c r="M207" t="s">
        <v>637</v>
      </c>
      <c r="N207">
        <f t="shared" si="3"/>
        <v>4317</v>
      </c>
    </row>
    <row r="208" spans="1:14" x14ac:dyDescent="0.3">
      <c r="A208" t="s">
        <v>927</v>
      </c>
      <c r="B208" t="s">
        <v>629</v>
      </c>
      <c r="C208" t="s">
        <v>635</v>
      </c>
      <c r="D208">
        <v>0</v>
      </c>
      <c r="E208" t="s">
        <v>631</v>
      </c>
      <c r="F208" t="s">
        <v>630</v>
      </c>
      <c r="G208">
        <v>3704</v>
      </c>
      <c r="H208">
        <v>2000</v>
      </c>
      <c r="I208">
        <v>120</v>
      </c>
      <c r="J208">
        <v>360</v>
      </c>
      <c r="K208">
        <v>1</v>
      </c>
      <c r="L208" t="s">
        <v>636</v>
      </c>
      <c r="M208" t="s">
        <v>633</v>
      </c>
      <c r="N208">
        <f t="shared" si="3"/>
        <v>5704</v>
      </c>
    </row>
    <row r="209" spans="1:14" x14ac:dyDescent="0.3">
      <c r="A209" t="s">
        <v>928</v>
      </c>
      <c r="B209" t="s">
        <v>657</v>
      </c>
      <c r="C209" t="s">
        <v>630</v>
      </c>
      <c r="D209">
        <v>0</v>
      </c>
      <c r="E209" t="s">
        <v>631</v>
      </c>
      <c r="F209" t="s">
        <v>630</v>
      </c>
      <c r="G209">
        <v>4124</v>
      </c>
      <c r="H209">
        <v>0</v>
      </c>
      <c r="I209">
        <v>115</v>
      </c>
      <c r="J209">
        <v>360</v>
      </c>
      <c r="K209">
        <v>1</v>
      </c>
      <c r="L209" t="s">
        <v>646</v>
      </c>
      <c r="M209" t="s">
        <v>633</v>
      </c>
      <c r="N209">
        <f t="shared" si="3"/>
        <v>4124</v>
      </c>
    </row>
    <row r="210" spans="1:14" x14ac:dyDescent="0.3">
      <c r="A210" t="s">
        <v>929</v>
      </c>
      <c r="B210" t="s">
        <v>629</v>
      </c>
      <c r="C210" t="s">
        <v>630</v>
      </c>
      <c r="D210">
        <v>0</v>
      </c>
      <c r="E210" t="s">
        <v>631</v>
      </c>
      <c r="F210" t="s">
        <v>630</v>
      </c>
      <c r="G210">
        <v>9508</v>
      </c>
      <c r="H210">
        <v>0</v>
      </c>
      <c r="I210">
        <v>187</v>
      </c>
      <c r="J210">
        <v>360</v>
      </c>
      <c r="K210">
        <v>1</v>
      </c>
      <c r="L210" t="s">
        <v>636</v>
      </c>
      <c r="M210" t="s">
        <v>633</v>
      </c>
      <c r="N210">
        <f t="shared" si="3"/>
        <v>9508</v>
      </c>
    </row>
    <row r="211" spans="1:14" x14ac:dyDescent="0.3">
      <c r="A211" t="s">
        <v>930</v>
      </c>
      <c r="B211" t="s">
        <v>629</v>
      </c>
      <c r="C211" t="s">
        <v>635</v>
      </c>
      <c r="D211">
        <v>0</v>
      </c>
      <c r="E211" t="s">
        <v>631</v>
      </c>
      <c r="F211" t="s">
        <v>630</v>
      </c>
      <c r="G211">
        <v>3075</v>
      </c>
      <c r="H211">
        <v>2416</v>
      </c>
      <c r="I211">
        <v>139</v>
      </c>
      <c r="J211">
        <v>360</v>
      </c>
      <c r="K211">
        <v>1</v>
      </c>
      <c r="L211" t="s">
        <v>636</v>
      </c>
      <c r="M211" t="s">
        <v>633</v>
      </c>
      <c r="N211">
        <f t="shared" si="3"/>
        <v>5491</v>
      </c>
    </row>
    <row r="212" spans="1:14" x14ac:dyDescent="0.3">
      <c r="A212" t="s">
        <v>931</v>
      </c>
      <c r="B212" t="s">
        <v>629</v>
      </c>
      <c r="C212" t="s">
        <v>635</v>
      </c>
      <c r="D212">
        <v>2</v>
      </c>
      <c r="E212" t="s">
        <v>631</v>
      </c>
      <c r="F212" t="s">
        <v>630</v>
      </c>
      <c r="G212">
        <v>4400</v>
      </c>
      <c r="H212">
        <v>0</v>
      </c>
      <c r="I212">
        <v>127</v>
      </c>
      <c r="J212">
        <v>360</v>
      </c>
      <c r="K212">
        <v>0</v>
      </c>
      <c r="L212" t="s">
        <v>646</v>
      </c>
      <c r="M212" t="s">
        <v>637</v>
      </c>
      <c r="N212">
        <f t="shared" si="3"/>
        <v>4400</v>
      </c>
    </row>
    <row r="213" spans="1:14" x14ac:dyDescent="0.3">
      <c r="A213" t="s">
        <v>932</v>
      </c>
      <c r="B213" t="s">
        <v>629</v>
      </c>
      <c r="C213" t="s">
        <v>635</v>
      </c>
      <c r="D213">
        <v>2</v>
      </c>
      <c r="E213" t="s">
        <v>631</v>
      </c>
      <c r="F213" t="s">
        <v>630</v>
      </c>
      <c r="G213">
        <v>3153</v>
      </c>
      <c r="H213">
        <v>1560</v>
      </c>
      <c r="I213">
        <v>134</v>
      </c>
      <c r="J213">
        <v>360</v>
      </c>
      <c r="K213">
        <v>1</v>
      </c>
      <c r="L213" t="s">
        <v>632</v>
      </c>
      <c r="M213" t="s">
        <v>633</v>
      </c>
      <c r="N213">
        <f t="shared" si="3"/>
        <v>4713</v>
      </c>
    </row>
    <row r="214" spans="1:14" x14ac:dyDescent="0.3">
      <c r="A214" t="s">
        <v>934</v>
      </c>
      <c r="B214" t="s">
        <v>629</v>
      </c>
      <c r="C214" t="s">
        <v>635</v>
      </c>
      <c r="D214">
        <v>0</v>
      </c>
      <c r="E214" t="s">
        <v>631</v>
      </c>
      <c r="F214" t="s">
        <v>630</v>
      </c>
      <c r="G214">
        <v>2383</v>
      </c>
      <c r="H214">
        <v>3334</v>
      </c>
      <c r="I214">
        <v>172</v>
      </c>
      <c r="J214">
        <v>360</v>
      </c>
      <c r="K214">
        <v>1</v>
      </c>
      <c r="L214" t="s">
        <v>646</v>
      </c>
      <c r="M214" t="s">
        <v>633</v>
      </c>
      <c r="N214">
        <f t="shared" si="3"/>
        <v>5717</v>
      </c>
    </row>
    <row r="215" spans="1:14" x14ac:dyDescent="0.3">
      <c r="A215" t="s">
        <v>936</v>
      </c>
      <c r="B215" t="s">
        <v>629</v>
      </c>
      <c r="C215" t="s">
        <v>635</v>
      </c>
      <c r="D215">
        <v>1</v>
      </c>
      <c r="E215" t="s">
        <v>631</v>
      </c>
      <c r="F215" t="s">
        <v>630</v>
      </c>
      <c r="G215">
        <v>6875</v>
      </c>
      <c r="H215">
        <v>0</v>
      </c>
      <c r="I215">
        <v>200</v>
      </c>
      <c r="J215">
        <v>360</v>
      </c>
      <c r="K215">
        <v>1</v>
      </c>
      <c r="L215" t="s">
        <v>646</v>
      </c>
      <c r="M215" t="s">
        <v>633</v>
      </c>
      <c r="N215">
        <f t="shared" si="3"/>
        <v>6875</v>
      </c>
    </row>
    <row r="216" spans="1:14" x14ac:dyDescent="0.3">
      <c r="A216" t="s">
        <v>937</v>
      </c>
      <c r="B216" t="s">
        <v>657</v>
      </c>
      <c r="C216" t="s">
        <v>635</v>
      </c>
      <c r="D216">
        <v>1</v>
      </c>
      <c r="E216" t="s">
        <v>631</v>
      </c>
      <c r="F216" t="s">
        <v>630</v>
      </c>
      <c r="G216">
        <v>4666</v>
      </c>
      <c r="H216">
        <v>0</v>
      </c>
      <c r="I216">
        <v>135</v>
      </c>
      <c r="J216">
        <v>360</v>
      </c>
      <c r="K216">
        <v>1</v>
      </c>
      <c r="L216" t="s">
        <v>632</v>
      </c>
      <c r="M216" t="s">
        <v>633</v>
      </c>
      <c r="N216">
        <f t="shared" si="3"/>
        <v>4666</v>
      </c>
    </row>
    <row r="217" spans="1:14" x14ac:dyDescent="0.3">
      <c r="A217" t="s">
        <v>938</v>
      </c>
      <c r="B217" t="s">
        <v>657</v>
      </c>
      <c r="C217" t="s">
        <v>630</v>
      </c>
      <c r="D217">
        <v>0</v>
      </c>
      <c r="E217" t="s">
        <v>631</v>
      </c>
      <c r="F217" t="s">
        <v>630</v>
      </c>
      <c r="G217">
        <v>5000</v>
      </c>
      <c r="H217">
        <v>2541</v>
      </c>
      <c r="I217">
        <v>151</v>
      </c>
      <c r="J217">
        <v>480</v>
      </c>
      <c r="K217">
        <v>1</v>
      </c>
      <c r="L217" t="s">
        <v>636</v>
      </c>
      <c r="M217" t="s">
        <v>637</v>
      </c>
      <c r="N217">
        <f t="shared" si="3"/>
        <v>7541</v>
      </c>
    </row>
    <row r="218" spans="1:14" x14ac:dyDescent="0.3">
      <c r="A218" t="s">
        <v>939</v>
      </c>
      <c r="B218" t="s">
        <v>629</v>
      </c>
      <c r="C218" t="s">
        <v>635</v>
      </c>
      <c r="D218">
        <v>1</v>
      </c>
      <c r="E218" t="s">
        <v>631</v>
      </c>
      <c r="F218" t="s">
        <v>630</v>
      </c>
      <c r="G218">
        <v>2014</v>
      </c>
      <c r="H218">
        <v>2925</v>
      </c>
      <c r="I218">
        <v>113</v>
      </c>
      <c r="J218">
        <v>360</v>
      </c>
      <c r="K218">
        <v>1</v>
      </c>
      <c r="L218" t="s">
        <v>632</v>
      </c>
      <c r="M218" t="s">
        <v>637</v>
      </c>
      <c r="N218">
        <f t="shared" si="3"/>
        <v>4939</v>
      </c>
    </row>
    <row r="219" spans="1:14" x14ac:dyDescent="0.3">
      <c r="A219" t="s">
        <v>940</v>
      </c>
      <c r="B219" t="s">
        <v>629</v>
      </c>
      <c r="C219" t="s">
        <v>635</v>
      </c>
      <c r="D219">
        <v>0</v>
      </c>
      <c r="E219" t="s">
        <v>640</v>
      </c>
      <c r="F219" t="s">
        <v>630</v>
      </c>
      <c r="G219">
        <v>1800</v>
      </c>
      <c r="H219">
        <v>2934</v>
      </c>
      <c r="I219">
        <v>93</v>
      </c>
      <c r="J219">
        <v>360</v>
      </c>
      <c r="K219">
        <v>0</v>
      </c>
      <c r="L219" t="s">
        <v>632</v>
      </c>
      <c r="M219" t="s">
        <v>637</v>
      </c>
      <c r="N219">
        <f t="shared" si="3"/>
        <v>4734</v>
      </c>
    </row>
    <row r="220" spans="1:14" x14ac:dyDescent="0.3">
      <c r="A220" t="s">
        <v>942</v>
      </c>
      <c r="B220" t="s">
        <v>657</v>
      </c>
      <c r="C220" t="s">
        <v>630</v>
      </c>
      <c r="D220">
        <v>0</v>
      </c>
      <c r="E220" t="s">
        <v>631</v>
      </c>
      <c r="F220" t="s">
        <v>630</v>
      </c>
      <c r="G220">
        <v>5000</v>
      </c>
      <c r="H220">
        <v>0</v>
      </c>
      <c r="I220">
        <v>132</v>
      </c>
      <c r="J220">
        <v>360</v>
      </c>
      <c r="K220">
        <v>1</v>
      </c>
      <c r="L220" t="s">
        <v>636</v>
      </c>
      <c r="M220" t="s">
        <v>633</v>
      </c>
      <c r="N220">
        <f t="shared" si="3"/>
        <v>5000</v>
      </c>
    </row>
    <row r="221" spans="1:14" x14ac:dyDescent="0.3">
      <c r="A221" t="s">
        <v>943</v>
      </c>
      <c r="B221" t="s">
        <v>629</v>
      </c>
      <c r="C221" t="s">
        <v>635</v>
      </c>
      <c r="D221">
        <v>1</v>
      </c>
      <c r="E221" t="s">
        <v>631</v>
      </c>
      <c r="F221" t="s">
        <v>630</v>
      </c>
      <c r="G221">
        <v>1625</v>
      </c>
      <c r="H221">
        <v>1803</v>
      </c>
      <c r="I221">
        <v>96</v>
      </c>
      <c r="J221">
        <v>360</v>
      </c>
      <c r="K221">
        <v>1</v>
      </c>
      <c r="L221" t="s">
        <v>632</v>
      </c>
      <c r="M221" t="s">
        <v>633</v>
      </c>
      <c r="N221">
        <f t="shared" si="3"/>
        <v>3428</v>
      </c>
    </row>
    <row r="222" spans="1:14" x14ac:dyDescent="0.3">
      <c r="A222" t="s">
        <v>944</v>
      </c>
      <c r="B222" t="s">
        <v>629</v>
      </c>
      <c r="C222" t="s">
        <v>630</v>
      </c>
      <c r="D222">
        <v>0</v>
      </c>
      <c r="E222" t="s">
        <v>631</v>
      </c>
      <c r="F222" t="s">
        <v>630</v>
      </c>
      <c r="G222">
        <v>4000</v>
      </c>
      <c r="H222">
        <v>2500</v>
      </c>
      <c r="I222">
        <v>140</v>
      </c>
      <c r="J222">
        <v>360</v>
      </c>
      <c r="K222">
        <v>1</v>
      </c>
      <c r="L222" t="s">
        <v>636</v>
      </c>
      <c r="M222" t="s">
        <v>633</v>
      </c>
      <c r="N222">
        <f t="shared" si="3"/>
        <v>6500</v>
      </c>
    </row>
    <row r="223" spans="1:14" x14ac:dyDescent="0.3">
      <c r="A223" t="s">
        <v>946</v>
      </c>
      <c r="B223" t="s">
        <v>657</v>
      </c>
      <c r="C223" t="s">
        <v>630</v>
      </c>
      <c r="D223">
        <v>0</v>
      </c>
      <c r="E223" t="s">
        <v>631</v>
      </c>
      <c r="F223" t="s">
        <v>630</v>
      </c>
      <c r="G223">
        <v>3762</v>
      </c>
      <c r="H223">
        <v>1666</v>
      </c>
      <c r="I223">
        <v>135</v>
      </c>
      <c r="J223">
        <v>360</v>
      </c>
      <c r="K223">
        <v>1</v>
      </c>
      <c r="L223" t="s">
        <v>636</v>
      </c>
      <c r="M223" t="s">
        <v>633</v>
      </c>
      <c r="N223">
        <f t="shared" si="3"/>
        <v>5428</v>
      </c>
    </row>
    <row r="224" spans="1:14" x14ac:dyDescent="0.3">
      <c r="A224" t="s">
        <v>947</v>
      </c>
      <c r="B224" t="s">
        <v>657</v>
      </c>
      <c r="C224" t="s">
        <v>630</v>
      </c>
      <c r="D224">
        <v>0</v>
      </c>
      <c r="E224" t="s">
        <v>631</v>
      </c>
      <c r="F224" t="s">
        <v>630</v>
      </c>
      <c r="G224">
        <v>2400</v>
      </c>
      <c r="H224">
        <v>1863</v>
      </c>
      <c r="I224">
        <v>104</v>
      </c>
      <c r="J224">
        <v>360</v>
      </c>
      <c r="K224">
        <v>0</v>
      </c>
      <c r="L224" t="s">
        <v>632</v>
      </c>
      <c r="M224" t="s">
        <v>637</v>
      </c>
      <c r="N224">
        <f t="shared" si="3"/>
        <v>4263</v>
      </c>
    </row>
    <row r="225" spans="1:14" x14ac:dyDescent="0.3">
      <c r="A225" t="s">
        <v>950</v>
      </c>
      <c r="B225" t="s">
        <v>657</v>
      </c>
      <c r="C225" t="s">
        <v>630</v>
      </c>
      <c r="D225">
        <v>0</v>
      </c>
      <c r="E225" t="s">
        <v>631</v>
      </c>
      <c r="F225" t="s">
        <v>630</v>
      </c>
      <c r="G225">
        <v>2917</v>
      </c>
      <c r="H225">
        <v>0</v>
      </c>
      <c r="I225">
        <v>84</v>
      </c>
      <c r="J225">
        <v>360</v>
      </c>
      <c r="K225">
        <v>1</v>
      </c>
      <c r="L225" t="s">
        <v>646</v>
      </c>
      <c r="M225" t="s">
        <v>633</v>
      </c>
      <c r="N225">
        <f t="shared" si="3"/>
        <v>2917</v>
      </c>
    </row>
    <row r="226" spans="1:14" x14ac:dyDescent="0.3">
      <c r="A226" t="s">
        <v>951</v>
      </c>
      <c r="B226" t="s">
        <v>629</v>
      </c>
      <c r="C226" t="s">
        <v>630</v>
      </c>
      <c r="D226">
        <v>0</v>
      </c>
      <c r="E226" t="s">
        <v>640</v>
      </c>
      <c r="F226" t="s">
        <v>630</v>
      </c>
      <c r="G226">
        <v>2927</v>
      </c>
      <c r="H226">
        <v>2405</v>
      </c>
      <c r="I226">
        <v>111</v>
      </c>
      <c r="J226">
        <v>360</v>
      </c>
      <c r="K226">
        <v>1</v>
      </c>
      <c r="L226" t="s">
        <v>646</v>
      </c>
      <c r="M226" t="s">
        <v>633</v>
      </c>
      <c r="N226">
        <f t="shared" si="3"/>
        <v>5332</v>
      </c>
    </row>
    <row r="227" spans="1:14" x14ac:dyDescent="0.3">
      <c r="A227" t="s">
        <v>952</v>
      </c>
      <c r="B227" t="s">
        <v>657</v>
      </c>
      <c r="C227" t="s">
        <v>630</v>
      </c>
      <c r="D227">
        <v>0</v>
      </c>
      <c r="E227" t="s">
        <v>631</v>
      </c>
      <c r="F227" t="s">
        <v>630</v>
      </c>
      <c r="G227">
        <v>2507</v>
      </c>
      <c r="H227">
        <v>0</v>
      </c>
      <c r="I227">
        <v>56</v>
      </c>
      <c r="J227">
        <v>360</v>
      </c>
      <c r="K227">
        <v>1</v>
      </c>
      <c r="L227" t="s">
        <v>636</v>
      </c>
      <c r="M227" t="s">
        <v>633</v>
      </c>
      <c r="N227">
        <f t="shared" si="3"/>
        <v>2507</v>
      </c>
    </row>
    <row r="228" spans="1:14" x14ac:dyDescent="0.3">
      <c r="A228" t="s">
        <v>955</v>
      </c>
      <c r="B228" t="s">
        <v>629</v>
      </c>
      <c r="C228" t="s">
        <v>635</v>
      </c>
      <c r="D228">
        <v>1</v>
      </c>
      <c r="E228" t="s">
        <v>640</v>
      </c>
      <c r="F228" t="s">
        <v>630</v>
      </c>
      <c r="G228">
        <v>3399</v>
      </c>
      <c r="H228">
        <v>1640</v>
      </c>
      <c r="I228">
        <v>111</v>
      </c>
      <c r="J228">
        <v>180</v>
      </c>
      <c r="K228">
        <v>1</v>
      </c>
      <c r="L228" t="s">
        <v>632</v>
      </c>
      <c r="M228" t="s">
        <v>633</v>
      </c>
      <c r="N228">
        <f t="shared" si="3"/>
        <v>5039</v>
      </c>
    </row>
    <row r="229" spans="1:14" x14ac:dyDescent="0.3">
      <c r="A229" t="s">
        <v>956</v>
      </c>
      <c r="B229" t="s">
        <v>629</v>
      </c>
      <c r="C229" t="s">
        <v>635</v>
      </c>
      <c r="D229">
        <v>2</v>
      </c>
      <c r="E229" t="s">
        <v>631</v>
      </c>
      <c r="F229" t="s">
        <v>630</v>
      </c>
      <c r="G229">
        <v>3717</v>
      </c>
      <c r="H229">
        <v>0</v>
      </c>
      <c r="I229">
        <v>120</v>
      </c>
      <c r="J229">
        <v>360</v>
      </c>
      <c r="K229">
        <v>1</v>
      </c>
      <c r="L229" t="s">
        <v>646</v>
      </c>
      <c r="M229" t="s">
        <v>633</v>
      </c>
      <c r="N229">
        <f t="shared" si="3"/>
        <v>3717</v>
      </c>
    </row>
    <row r="230" spans="1:14" x14ac:dyDescent="0.3">
      <c r="A230" t="s">
        <v>959</v>
      </c>
      <c r="B230" t="s">
        <v>629</v>
      </c>
      <c r="C230" t="s">
        <v>635</v>
      </c>
      <c r="D230">
        <v>1</v>
      </c>
      <c r="E230" t="s">
        <v>631</v>
      </c>
      <c r="F230" t="s">
        <v>635</v>
      </c>
      <c r="G230">
        <v>10000</v>
      </c>
      <c r="H230">
        <v>0</v>
      </c>
      <c r="I230">
        <v>155</v>
      </c>
      <c r="J230">
        <v>360</v>
      </c>
      <c r="K230">
        <v>1</v>
      </c>
      <c r="L230" t="s">
        <v>636</v>
      </c>
      <c r="M230" t="s">
        <v>637</v>
      </c>
      <c r="N230">
        <f t="shared" si="3"/>
        <v>10000</v>
      </c>
    </row>
    <row r="231" spans="1:14" x14ac:dyDescent="0.3">
      <c r="A231" t="s">
        <v>960</v>
      </c>
      <c r="B231" t="s">
        <v>629</v>
      </c>
      <c r="C231" t="s">
        <v>635</v>
      </c>
      <c r="D231">
        <v>0</v>
      </c>
      <c r="E231" t="s">
        <v>631</v>
      </c>
      <c r="F231" t="s">
        <v>630</v>
      </c>
      <c r="G231">
        <v>2400</v>
      </c>
      <c r="H231">
        <v>2167</v>
      </c>
      <c r="I231">
        <v>115</v>
      </c>
      <c r="J231">
        <v>360</v>
      </c>
      <c r="K231">
        <v>1</v>
      </c>
      <c r="L231" t="s">
        <v>646</v>
      </c>
      <c r="M231" t="s">
        <v>633</v>
      </c>
      <c r="N231">
        <f t="shared" si="3"/>
        <v>4567</v>
      </c>
    </row>
    <row r="232" spans="1:14" x14ac:dyDescent="0.3">
      <c r="A232" t="s">
        <v>961</v>
      </c>
      <c r="B232" t="s">
        <v>629</v>
      </c>
      <c r="C232" t="s">
        <v>635</v>
      </c>
      <c r="D232" t="s">
        <v>645</v>
      </c>
      <c r="E232" t="s">
        <v>631</v>
      </c>
      <c r="F232" t="s">
        <v>630</v>
      </c>
      <c r="G232">
        <v>4342</v>
      </c>
      <c r="H232">
        <v>189</v>
      </c>
      <c r="I232">
        <v>124</v>
      </c>
      <c r="J232">
        <v>360</v>
      </c>
      <c r="K232">
        <v>1</v>
      </c>
      <c r="L232" t="s">
        <v>646</v>
      </c>
      <c r="M232" t="s">
        <v>633</v>
      </c>
      <c r="N232">
        <f t="shared" si="3"/>
        <v>4531</v>
      </c>
    </row>
    <row r="233" spans="1:14" x14ac:dyDescent="0.3">
      <c r="A233" t="s">
        <v>966</v>
      </c>
      <c r="B233" t="s">
        <v>629</v>
      </c>
      <c r="C233" t="s">
        <v>630</v>
      </c>
      <c r="D233">
        <v>0</v>
      </c>
      <c r="E233" t="s">
        <v>631</v>
      </c>
      <c r="F233" t="s">
        <v>630</v>
      </c>
      <c r="G233">
        <v>4917</v>
      </c>
      <c r="H233">
        <v>0</v>
      </c>
      <c r="I233">
        <v>130</v>
      </c>
      <c r="J233">
        <v>360</v>
      </c>
      <c r="K233">
        <v>0</v>
      </c>
      <c r="L233" t="s">
        <v>636</v>
      </c>
      <c r="M233" t="s">
        <v>633</v>
      </c>
      <c r="N233">
        <f t="shared" si="3"/>
        <v>4917</v>
      </c>
    </row>
    <row r="234" spans="1:14" x14ac:dyDescent="0.3">
      <c r="A234" t="s">
        <v>967</v>
      </c>
      <c r="B234" t="s">
        <v>629</v>
      </c>
      <c r="C234" t="s">
        <v>635</v>
      </c>
      <c r="D234">
        <v>0</v>
      </c>
      <c r="E234" t="s">
        <v>631</v>
      </c>
      <c r="F234" t="s">
        <v>635</v>
      </c>
      <c r="G234">
        <v>5818</v>
      </c>
      <c r="H234">
        <v>2160</v>
      </c>
      <c r="I234">
        <v>184</v>
      </c>
      <c r="J234">
        <v>360</v>
      </c>
      <c r="K234">
        <v>1</v>
      </c>
      <c r="L234" t="s">
        <v>646</v>
      </c>
      <c r="M234" t="s">
        <v>633</v>
      </c>
      <c r="N234">
        <f t="shared" si="3"/>
        <v>7978</v>
      </c>
    </row>
    <row r="235" spans="1:14" x14ac:dyDescent="0.3">
      <c r="A235" t="s">
        <v>968</v>
      </c>
      <c r="B235" t="s">
        <v>657</v>
      </c>
      <c r="C235" t="s">
        <v>635</v>
      </c>
      <c r="D235">
        <v>0</v>
      </c>
      <c r="E235" t="s">
        <v>631</v>
      </c>
      <c r="F235" t="s">
        <v>630</v>
      </c>
      <c r="G235">
        <v>4333</v>
      </c>
      <c r="H235">
        <v>2451</v>
      </c>
      <c r="I235">
        <v>110</v>
      </c>
      <c r="J235">
        <v>360</v>
      </c>
      <c r="K235">
        <v>1</v>
      </c>
      <c r="L235" t="s">
        <v>632</v>
      </c>
      <c r="M235" t="s">
        <v>637</v>
      </c>
      <c r="N235">
        <f t="shared" si="3"/>
        <v>6784</v>
      </c>
    </row>
    <row r="236" spans="1:14" x14ac:dyDescent="0.3">
      <c r="A236" t="s">
        <v>969</v>
      </c>
      <c r="B236" t="s">
        <v>657</v>
      </c>
      <c r="C236" t="s">
        <v>630</v>
      </c>
      <c r="D236">
        <v>0</v>
      </c>
      <c r="E236" t="s">
        <v>631</v>
      </c>
      <c r="F236" t="s">
        <v>630</v>
      </c>
      <c r="G236">
        <v>2500</v>
      </c>
      <c r="H236">
        <v>0</v>
      </c>
      <c r="I236">
        <v>67</v>
      </c>
      <c r="J236">
        <v>360</v>
      </c>
      <c r="K236">
        <v>1</v>
      </c>
      <c r="L236" t="s">
        <v>632</v>
      </c>
      <c r="M236" t="s">
        <v>633</v>
      </c>
      <c r="N236">
        <f t="shared" si="3"/>
        <v>2500</v>
      </c>
    </row>
    <row r="237" spans="1:14" x14ac:dyDescent="0.3">
      <c r="A237" t="s">
        <v>970</v>
      </c>
      <c r="B237" t="s">
        <v>629</v>
      </c>
      <c r="C237" t="s">
        <v>630</v>
      </c>
      <c r="D237">
        <v>1</v>
      </c>
      <c r="E237" t="s">
        <v>631</v>
      </c>
      <c r="F237" t="s">
        <v>630</v>
      </c>
      <c r="G237">
        <v>4384</v>
      </c>
      <c r="H237">
        <v>1793</v>
      </c>
      <c r="I237">
        <v>117</v>
      </c>
      <c r="J237">
        <v>360</v>
      </c>
      <c r="K237">
        <v>1</v>
      </c>
      <c r="L237" t="s">
        <v>632</v>
      </c>
      <c r="M237" t="s">
        <v>633</v>
      </c>
      <c r="N237">
        <f t="shared" si="3"/>
        <v>6177</v>
      </c>
    </row>
    <row r="238" spans="1:14" x14ac:dyDescent="0.3">
      <c r="A238" t="s">
        <v>971</v>
      </c>
      <c r="B238" t="s">
        <v>629</v>
      </c>
      <c r="C238" t="s">
        <v>630</v>
      </c>
      <c r="D238">
        <v>0</v>
      </c>
      <c r="E238" t="s">
        <v>631</v>
      </c>
      <c r="F238" t="s">
        <v>630</v>
      </c>
      <c r="G238">
        <v>2935</v>
      </c>
      <c r="H238">
        <v>0</v>
      </c>
      <c r="I238">
        <v>98</v>
      </c>
      <c r="J238">
        <v>360</v>
      </c>
      <c r="K238">
        <v>1</v>
      </c>
      <c r="L238" t="s">
        <v>646</v>
      </c>
      <c r="M238" t="s">
        <v>633</v>
      </c>
      <c r="N238">
        <f t="shared" si="3"/>
        <v>2935</v>
      </c>
    </row>
    <row r="239" spans="1:14" x14ac:dyDescent="0.3">
      <c r="A239" t="s">
        <v>977</v>
      </c>
      <c r="B239" t="s">
        <v>629</v>
      </c>
      <c r="C239" t="s">
        <v>635</v>
      </c>
      <c r="D239">
        <v>2</v>
      </c>
      <c r="E239" t="s">
        <v>631</v>
      </c>
      <c r="F239" t="s">
        <v>635</v>
      </c>
      <c r="G239">
        <v>2500</v>
      </c>
      <c r="H239">
        <v>4600</v>
      </c>
      <c r="I239">
        <v>176</v>
      </c>
      <c r="J239">
        <v>360</v>
      </c>
      <c r="K239">
        <v>1</v>
      </c>
      <c r="L239" t="s">
        <v>636</v>
      </c>
      <c r="M239" t="s">
        <v>633</v>
      </c>
      <c r="N239">
        <f t="shared" si="3"/>
        <v>7100</v>
      </c>
    </row>
    <row r="240" spans="1:14" x14ac:dyDescent="0.3">
      <c r="A240" t="s">
        <v>979</v>
      </c>
      <c r="B240" t="s">
        <v>657</v>
      </c>
      <c r="C240" t="s">
        <v>630</v>
      </c>
      <c r="D240">
        <v>0</v>
      </c>
      <c r="E240" t="s">
        <v>631</v>
      </c>
      <c r="F240" t="s">
        <v>630</v>
      </c>
      <c r="G240">
        <v>4160</v>
      </c>
      <c r="H240">
        <v>0</v>
      </c>
      <c r="I240">
        <v>71</v>
      </c>
      <c r="J240">
        <v>360</v>
      </c>
      <c r="K240">
        <v>1</v>
      </c>
      <c r="L240" t="s">
        <v>646</v>
      </c>
      <c r="M240" t="s">
        <v>633</v>
      </c>
      <c r="N240">
        <f t="shared" si="3"/>
        <v>4160</v>
      </c>
    </row>
    <row r="241" spans="1:14" x14ac:dyDescent="0.3">
      <c r="A241" t="s">
        <v>980</v>
      </c>
      <c r="B241" t="s">
        <v>629</v>
      </c>
      <c r="C241" t="s">
        <v>635</v>
      </c>
      <c r="D241" t="s">
        <v>645</v>
      </c>
      <c r="E241" t="s">
        <v>640</v>
      </c>
      <c r="F241" t="s">
        <v>630</v>
      </c>
      <c r="G241">
        <v>2647</v>
      </c>
      <c r="H241">
        <v>1587</v>
      </c>
      <c r="I241">
        <v>173</v>
      </c>
      <c r="J241">
        <v>360</v>
      </c>
      <c r="K241">
        <v>1</v>
      </c>
      <c r="L241" t="s">
        <v>636</v>
      </c>
      <c r="M241" t="s">
        <v>637</v>
      </c>
      <c r="N241">
        <f t="shared" si="3"/>
        <v>4234</v>
      </c>
    </row>
    <row r="242" spans="1:14" x14ac:dyDescent="0.3">
      <c r="A242" t="s">
        <v>981</v>
      </c>
      <c r="B242" t="s">
        <v>657</v>
      </c>
      <c r="C242" t="s">
        <v>630</v>
      </c>
      <c r="D242">
        <v>0</v>
      </c>
      <c r="E242" t="s">
        <v>631</v>
      </c>
      <c r="F242" t="s">
        <v>630</v>
      </c>
      <c r="G242">
        <v>2378</v>
      </c>
      <c r="H242">
        <v>0</v>
      </c>
      <c r="I242">
        <v>46</v>
      </c>
      <c r="J242">
        <v>360</v>
      </c>
      <c r="K242">
        <v>1</v>
      </c>
      <c r="L242" t="s">
        <v>636</v>
      </c>
      <c r="M242" t="s">
        <v>637</v>
      </c>
      <c r="N242">
        <f t="shared" si="3"/>
        <v>2378</v>
      </c>
    </row>
    <row r="243" spans="1:14" x14ac:dyDescent="0.3">
      <c r="A243" t="s">
        <v>982</v>
      </c>
      <c r="B243" t="s">
        <v>629</v>
      </c>
      <c r="C243" t="s">
        <v>635</v>
      </c>
      <c r="D243">
        <v>1</v>
      </c>
      <c r="E243" t="s">
        <v>640</v>
      </c>
      <c r="F243" t="s">
        <v>630</v>
      </c>
      <c r="G243">
        <v>4554</v>
      </c>
      <c r="H243">
        <v>1229</v>
      </c>
      <c r="I243">
        <v>158</v>
      </c>
      <c r="J243">
        <v>360</v>
      </c>
      <c r="K243">
        <v>1</v>
      </c>
      <c r="L243" t="s">
        <v>632</v>
      </c>
      <c r="M243" t="s">
        <v>633</v>
      </c>
      <c r="N243">
        <f t="shared" si="3"/>
        <v>5783</v>
      </c>
    </row>
    <row r="244" spans="1:14" x14ac:dyDescent="0.3">
      <c r="A244" t="s">
        <v>983</v>
      </c>
      <c r="B244" t="s">
        <v>629</v>
      </c>
      <c r="C244" t="s">
        <v>635</v>
      </c>
      <c r="D244" t="s">
        <v>645</v>
      </c>
      <c r="E244" t="s">
        <v>640</v>
      </c>
      <c r="F244" t="s">
        <v>630</v>
      </c>
      <c r="G244">
        <v>3173</v>
      </c>
      <c r="H244">
        <v>0</v>
      </c>
      <c r="I244">
        <v>74</v>
      </c>
      <c r="J244">
        <v>360</v>
      </c>
      <c r="K244">
        <v>1</v>
      </c>
      <c r="L244" t="s">
        <v>646</v>
      </c>
      <c r="M244" t="s">
        <v>633</v>
      </c>
      <c r="N244">
        <f t="shared" si="3"/>
        <v>3173</v>
      </c>
    </row>
    <row r="245" spans="1:14" x14ac:dyDescent="0.3">
      <c r="A245" t="s">
        <v>985</v>
      </c>
      <c r="B245" t="s">
        <v>629</v>
      </c>
      <c r="C245" t="s">
        <v>635</v>
      </c>
      <c r="D245">
        <v>0</v>
      </c>
      <c r="E245" t="s">
        <v>631</v>
      </c>
      <c r="F245" t="s">
        <v>630</v>
      </c>
      <c r="G245">
        <v>2499</v>
      </c>
      <c r="H245">
        <v>2458</v>
      </c>
      <c r="I245">
        <v>160</v>
      </c>
      <c r="J245">
        <v>360</v>
      </c>
      <c r="K245">
        <v>1</v>
      </c>
      <c r="L245" t="s">
        <v>646</v>
      </c>
      <c r="M245" t="s">
        <v>633</v>
      </c>
      <c r="N245">
        <f t="shared" si="3"/>
        <v>4957</v>
      </c>
    </row>
    <row r="246" spans="1:14" x14ac:dyDescent="0.3">
      <c r="A246" t="s">
        <v>987</v>
      </c>
      <c r="B246" t="s">
        <v>629</v>
      </c>
      <c r="C246" t="s">
        <v>635</v>
      </c>
      <c r="D246">
        <v>2</v>
      </c>
      <c r="E246" t="s">
        <v>640</v>
      </c>
      <c r="F246" t="s">
        <v>630</v>
      </c>
      <c r="G246">
        <v>3083</v>
      </c>
      <c r="H246">
        <v>2168</v>
      </c>
      <c r="I246">
        <v>126</v>
      </c>
      <c r="J246">
        <v>360</v>
      </c>
      <c r="K246">
        <v>1</v>
      </c>
      <c r="L246" t="s">
        <v>632</v>
      </c>
      <c r="M246" t="s">
        <v>633</v>
      </c>
      <c r="N246">
        <f t="shared" si="3"/>
        <v>5251</v>
      </c>
    </row>
    <row r="247" spans="1:14" x14ac:dyDescent="0.3">
      <c r="A247" t="s">
        <v>989</v>
      </c>
      <c r="B247" t="s">
        <v>629</v>
      </c>
      <c r="C247" t="s">
        <v>635</v>
      </c>
      <c r="D247">
        <v>0</v>
      </c>
      <c r="E247" t="s">
        <v>631</v>
      </c>
      <c r="F247" t="s">
        <v>630</v>
      </c>
      <c r="G247">
        <v>2625</v>
      </c>
      <c r="H247">
        <v>6250</v>
      </c>
      <c r="I247">
        <v>187</v>
      </c>
      <c r="J247">
        <v>360</v>
      </c>
      <c r="K247">
        <v>1</v>
      </c>
      <c r="L247" t="s">
        <v>636</v>
      </c>
      <c r="M247" t="s">
        <v>633</v>
      </c>
      <c r="N247">
        <f t="shared" si="3"/>
        <v>8875</v>
      </c>
    </row>
    <row r="248" spans="1:14" x14ac:dyDescent="0.3">
      <c r="A248" t="s">
        <v>990</v>
      </c>
      <c r="B248" t="s">
        <v>629</v>
      </c>
      <c r="C248" t="s">
        <v>635</v>
      </c>
      <c r="D248">
        <v>0</v>
      </c>
      <c r="E248" t="s">
        <v>631</v>
      </c>
      <c r="F248" t="s">
        <v>630</v>
      </c>
      <c r="G248">
        <v>9083</v>
      </c>
      <c r="H248">
        <v>0</v>
      </c>
      <c r="I248">
        <v>228</v>
      </c>
      <c r="J248">
        <v>360</v>
      </c>
      <c r="K248">
        <v>1</v>
      </c>
      <c r="L248" t="s">
        <v>646</v>
      </c>
      <c r="M248" t="s">
        <v>633</v>
      </c>
      <c r="N248">
        <f t="shared" si="3"/>
        <v>9083</v>
      </c>
    </row>
    <row r="249" spans="1:14" x14ac:dyDescent="0.3">
      <c r="A249" t="s">
        <v>992</v>
      </c>
      <c r="B249" t="s">
        <v>629</v>
      </c>
      <c r="C249" t="s">
        <v>635</v>
      </c>
      <c r="D249" t="s">
        <v>645</v>
      </c>
      <c r="E249" t="s">
        <v>631</v>
      </c>
      <c r="F249" t="s">
        <v>630</v>
      </c>
      <c r="G249">
        <v>2666</v>
      </c>
      <c r="H249">
        <v>2083</v>
      </c>
      <c r="I249">
        <v>95</v>
      </c>
      <c r="J249">
        <v>360</v>
      </c>
      <c r="K249">
        <v>1</v>
      </c>
      <c r="L249" t="s">
        <v>636</v>
      </c>
      <c r="M249" t="s">
        <v>633</v>
      </c>
      <c r="N249">
        <f t="shared" si="3"/>
        <v>4749</v>
      </c>
    </row>
    <row r="250" spans="1:14" x14ac:dyDescent="0.3">
      <c r="A250" t="s">
        <v>993</v>
      </c>
      <c r="B250" t="s">
        <v>657</v>
      </c>
      <c r="C250" t="s">
        <v>635</v>
      </c>
      <c r="D250">
        <v>0</v>
      </c>
      <c r="E250" t="s">
        <v>631</v>
      </c>
      <c r="F250" t="s">
        <v>635</v>
      </c>
      <c r="G250">
        <v>5500</v>
      </c>
      <c r="H250">
        <v>0</v>
      </c>
      <c r="I250">
        <v>105</v>
      </c>
      <c r="J250">
        <v>360</v>
      </c>
      <c r="K250">
        <v>0</v>
      </c>
      <c r="L250" t="s">
        <v>636</v>
      </c>
      <c r="M250" t="s">
        <v>637</v>
      </c>
      <c r="N250">
        <f t="shared" si="3"/>
        <v>5500</v>
      </c>
    </row>
    <row r="251" spans="1:14" x14ac:dyDescent="0.3">
      <c r="A251" t="s">
        <v>994</v>
      </c>
      <c r="B251" t="s">
        <v>657</v>
      </c>
      <c r="C251" t="s">
        <v>635</v>
      </c>
      <c r="D251">
        <v>0</v>
      </c>
      <c r="E251" t="s">
        <v>631</v>
      </c>
      <c r="F251" t="s">
        <v>630</v>
      </c>
      <c r="G251">
        <v>2423</v>
      </c>
      <c r="H251">
        <v>505</v>
      </c>
      <c r="I251">
        <v>130</v>
      </c>
      <c r="J251">
        <v>360</v>
      </c>
      <c r="K251">
        <v>1</v>
      </c>
      <c r="L251" t="s">
        <v>646</v>
      </c>
      <c r="M251" t="s">
        <v>633</v>
      </c>
      <c r="N251">
        <f t="shared" si="3"/>
        <v>2928</v>
      </c>
    </row>
    <row r="252" spans="1:14" x14ac:dyDescent="0.3">
      <c r="A252" t="s">
        <v>996</v>
      </c>
      <c r="B252" t="s">
        <v>629</v>
      </c>
      <c r="C252" t="s">
        <v>635</v>
      </c>
      <c r="D252">
        <v>2</v>
      </c>
      <c r="E252" t="s">
        <v>631</v>
      </c>
      <c r="F252" t="s">
        <v>630</v>
      </c>
      <c r="G252">
        <v>8333</v>
      </c>
      <c r="H252">
        <v>3167</v>
      </c>
      <c r="I252">
        <v>165</v>
      </c>
      <c r="J252">
        <v>360</v>
      </c>
      <c r="K252">
        <v>1</v>
      </c>
      <c r="L252" t="s">
        <v>636</v>
      </c>
      <c r="M252" t="s">
        <v>633</v>
      </c>
      <c r="N252">
        <f t="shared" si="3"/>
        <v>11500</v>
      </c>
    </row>
    <row r="253" spans="1:14" x14ac:dyDescent="0.3">
      <c r="A253" t="s">
        <v>997</v>
      </c>
      <c r="B253" t="s">
        <v>629</v>
      </c>
      <c r="C253" t="s">
        <v>635</v>
      </c>
      <c r="D253">
        <v>1</v>
      </c>
      <c r="E253" t="s">
        <v>631</v>
      </c>
      <c r="F253" t="s">
        <v>630</v>
      </c>
      <c r="G253">
        <v>3875</v>
      </c>
      <c r="H253">
        <v>0</v>
      </c>
      <c r="I253">
        <v>67</v>
      </c>
      <c r="J253">
        <v>360</v>
      </c>
      <c r="K253">
        <v>1</v>
      </c>
      <c r="L253" t="s">
        <v>632</v>
      </c>
      <c r="M253" t="s">
        <v>637</v>
      </c>
      <c r="N253">
        <f t="shared" si="3"/>
        <v>3875</v>
      </c>
    </row>
    <row r="254" spans="1:14" x14ac:dyDescent="0.3">
      <c r="A254" t="s">
        <v>998</v>
      </c>
      <c r="B254" t="s">
        <v>629</v>
      </c>
      <c r="C254" t="s">
        <v>635</v>
      </c>
      <c r="D254">
        <v>0</v>
      </c>
      <c r="E254" t="s">
        <v>640</v>
      </c>
      <c r="F254" t="s">
        <v>630</v>
      </c>
      <c r="G254">
        <v>3000</v>
      </c>
      <c r="H254">
        <v>1666</v>
      </c>
      <c r="I254">
        <v>100</v>
      </c>
      <c r="J254">
        <v>480</v>
      </c>
      <c r="K254">
        <v>0</v>
      </c>
      <c r="L254" t="s">
        <v>632</v>
      </c>
      <c r="M254" t="s">
        <v>637</v>
      </c>
      <c r="N254">
        <f t="shared" si="3"/>
        <v>4666</v>
      </c>
    </row>
    <row r="255" spans="1:14" x14ac:dyDescent="0.3">
      <c r="A255" t="s">
        <v>999</v>
      </c>
      <c r="B255" t="s">
        <v>629</v>
      </c>
      <c r="C255" t="s">
        <v>635</v>
      </c>
      <c r="D255" t="s">
        <v>645</v>
      </c>
      <c r="E255" t="s">
        <v>631</v>
      </c>
      <c r="F255" t="s">
        <v>630</v>
      </c>
      <c r="G255">
        <v>5167</v>
      </c>
      <c r="H255">
        <v>3167</v>
      </c>
      <c r="I255">
        <v>200</v>
      </c>
      <c r="J255">
        <v>360</v>
      </c>
      <c r="K255">
        <v>1</v>
      </c>
      <c r="L255" t="s">
        <v>646</v>
      </c>
      <c r="M255" t="s">
        <v>633</v>
      </c>
      <c r="N255">
        <f t="shared" si="3"/>
        <v>8334</v>
      </c>
    </row>
    <row r="256" spans="1:14" x14ac:dyDescent="0.3">
      <c r="A256" t="s">
        <v>1000</v>
      </c>
      <c r="B256" t="s">
        <v>657</v>
      </c>
      <c r="C256" t="s">
        <v>630</v>
      </c>
      <c r="D256">
        <v>1</v>
      </c>
      <c r="E256" t="s">
        <v>631</v>
      </c>
      <c r="F256" t="s">
        <v>630</v>
      </c>
      <c r="G256">
        <v>4723</v>
      </c>
      <c r="H256">
        <v>0</v>
      </c>
      <c r="I256">
        <v>81</v>
      </c>
      <c r="J256">
        <v>360</v>
      </c>
      <c r="K256">
        <v>1</v>
      </c>
      <c r="L256" t="s">
        <v>646</v>
      </c>
      <c r="M256" t="s">
        <v>637</v>
      </c>
      <c r="N256">
        <f t="shared" si="3"/>
        <v>4723</v>
      </c>
    </row>
    <row r="257" spans="1:14" x14ac:dyDescent="0.3">
      <c r="A257" t="s">
        <v>1001</v>
      </c>
      <c r="B257" t="s">
        <v>629</v>
      </c>
      <c r="C257" t="s">
        <v>635</v>
      </c>
      <c r="D257">
        <v>2</v>
      </c>
      <c r="E257" t="s">
        <v>631</v>
      </c>
      <c r="F257" t="s">
        <v>630</v>
      </c>
      <c r="G257">
        <v>5000</v>
      </c>
      <c r="H257">
        <v>3667</v>
      </c>
      <c r="I257">
        <v>236</v>
      </c>
      <c r="J257">
        <v>360</v>
      </c>
      <c r="K257">
        <v>1</v>
      </c>
      <c r="L257" t="s">
        <v>646</v>
      </c>
      <c r="M257" t="s">
        <v>633</v>
      </c>
      <c r="N257">
        <f t="shared" si="3"/>
        <v>8667</v>
      </c>
    </row>
    <row r="258" spans="1:14" x14ac:dyDescent="0.3">
      <c r="A258" t="s">
        <v>1002</v>
      </c>
      <c r="B258" t="s">
        <v>629</v>
      </c>
      <c r="C258" t="s">
        <v>635</v>
      </c>
      <c r="D258">
        <v>0</v>
      </c>
      <c r="E258" t="s">
        <v>631</v>
      </c>
      <c r="F258" t="s">
        <v>630</v>
      </c>
      <c r="G258">
        <v>4750</v>
      </c>
      <c r="H258">
        <v>2333</v>
      </c>
      <c r="I258">
        <v>130</v>
      </c>
      <c r="J258">
        <v>360</v>
      </c>
      <c r="K258">
        <v>1</v>
      </c>
      <c r="L258" t="s">
        <v>632</v>
      </c>
      <c r="M258" t="s">
        <v>633</v>
      </c>
      <c r="N258">
        <f t="shared" si="3"/>
        <v>7083</v>
      </c>
    </row>
    <row r="259" spans="1:14" x14ac:dyDescent="0.3">
      <c r="A259" t="s">
        <v>1004</v>
      </c>
      <c r="B259" t="s">
        <v>629</v>
      </c>
      <c r="C259" t="s">
        <v>630</v>
      </c>
      <c r="D259">
        <v>0</v>
      </c>
      <c r="E259" t="s">
        <v>631</v>
      </c>
      <c r="F259" t="s">
        <v>635</v>
      </c>
      <c r="G259">
        <v>6822</v>
      </c>
      <c r="H259">
        <v>0</v>
      </c>
      <c r="I259">
        <v>141</v>
      </c>
      <c r="J259">
        <v>360</v>
      </c>
      <c r="K259">
        <v>1</v>
      </c>
      <c r="L259" t="s">
        <v>636</v>
      </c>
      <c r="M259" t="s">
        <v>633</v>
      </c>
      <c r="N259">
        <f t="shared" ref="N259:N322" si="4">G259+H259</f>
        <v>6822</v>
      </c>
    </row>
    <row r="260" spans="1:14" x14ac:dyDescent="0.3">
      <c r="A260" t="s">
        <v>1005</v>
      </c>
      <c r="B260" t="s">
        <v>629</v>
      </c>
      <c r="C260" t="s">
        <v>630</v>
      </c>
      <c r="D260">
        <v>0</v>
      </c>
      <c r="E260" t="s">
        <v>640</v>
      </c>
      <c r="F260" t="s">
        <v>630</v>
      </c>
      <c r="G260">
        <v>6216</v>
      </c>
      <c r="H260">
        <v>0</v>
      </c>
      <c r="I260">
        <v>133</v>
      </c>
      <c r="J260">
        <v>360</v>
      </c>
      <c r="K260">
        <v>1</v>
      </c>
      <c r="L260" t="s">
        <v>636</v>
      </c>
      <c r="M260" t="s">
        <v>637</v>
      </c>
      <c r="N260">
        <f t="shared" si="4"/>
        <v>6216</v>
      </c>
    </row>
    <row r="261" spans="1:14" x14ac:dyDescent="0.3">
      <c r="A261" t="s">
        <v>1006</v>
      </c>
      <c r="B261" t="s">
        <v>629</v>
      </c>
      <c r="C261" t="s">
        <v>630</v>
      </c>
      <c r="D261">
        <v>0</v>
      </c>
      <c r="E261" t="s">
        <v>631</v>
      </c>
      <c r="F261" t="s">
        <v>630</v>
      </c>
      <c r="G261">
        <v>2500</v>
      </c>
      <c r="H261">
        <v>0</v>
      </c>
      <c r="I261">
        <v>96</v>
      </c>
      <c r="J261">
        <v>480</v>
      </c>
      <c r="K261">
        <v>1</v>
      </c>
      <c r="L261" t="s">
        <v>646</v>
      </c>
      <c r="M261" t="s">
        <v>637</v>
      </c>
      <c r="N261">
        <f t="shared" si="4"/>
        <v>2500</v>
      </c>
    </row>
    <row r="262" spans="1:14" x14ac:dyDescent="0.3">
      <c r="A262" t="s">
        <v>1008</v>
      </c>
      <c r="B262" t="s">
        <v>629</v>
      </c>
      <c r="C262" t="s">
        <v>635</v>
      </c>
      <c r="D262">
        <v>1</v>
      </c>
      <c r="E262" t="s">
        <v>631</v>
      </c>
      <c r="F262" t="s">
        <v>630</v>
      </c>
      <c r="G262">
        <v>6325</v>
      </c>
      <c r="H262">
        <v>0</v>
      </c>
      <c r="I262">
        <v>175</v>
      </c>
      <c r="J262">
        <v>360</v>
      </c>
      <c r="K262">
        <v>1</v>
      </c>
      <c r="L262" t="s">
        <v>646</v>
      </c>
      <c r="M262" t="s">
        <v>633</v>
      </c>
      <c r="N262">
        <f t="shared" si="4"/>
        <v>6325</v>
      </c>
    </row>
    <row r="263" spans="1:14" x14ac:dyDescent="0.3">
      <c r="A263" t="s">
        <v>1010</v>
      </c>
      <c r="B263" t="s">
        <v>657</v>
      </c>
      <c r="C263" t="s">
        <v>630</v>
      </c>
      <c r="D263">
        <v>0</v>
      </c>
      <c r="E263" t="s">
        <v>631</v>
      </c>
      <c r="F263" t="s">
        <v>635</v>
      </c>
      <c r="G263">
        <v>15759</v>
      </c>
      <c r="H263">
        <v>0</v>
      </c>
      <c r="I263">
        <v>55</v>
      </c>
      <c r="J263">
        <v>360</v>
      </c>
      <c r="K263">
        <v>1</v>
      </c>
      <c r="L263" t="s">
        <v>646</v>
      </c>
      <c r="M263" t="s">
        <v>633</v>
      </c>
      <c r="N263">
        <f t="shared" si="4"/>
        <v>15759</v>
      </c>
    </row>
    <row r="264" spans="1:14" x14ac:dyDescent="0.3">
      <c r="A264" t="s">
        <v>1011</v>
      </c>
      <c r="B264" t="s">
        <v>629</v>
      </c>
      <c r="C264" t="s">
        <v>635</v>
      </c>
      <c r="D264">
        <v>2</v>
      </c>
      <c r="E264" t="s">
        <v>631</v>
      </c>
      <c r="F264" t="s">
        <v>630</v>
      </c>
      <c r="G264">
        <v>5185</v>
      </c>
      <c r="H264">
        <v>0</v>
      </c>
      <c r="I264">
        <v>155</v>
      </c>
      <c r="J264">
        <v>360</v>
      </c>
      <c r="K264">
        <v>1</v>
      </c>
      <c r="L264" t="s">
        <v>646</v>
      </c>
      <c r="M264" t="s">
        <v>633</v>
      </c>
      <c r="N264">
        <f t="shared" si="4"/>
        <v>5185</v>
      </c>
    </row>
    <row r="265" spans="1:14" x14ac:dyDescent="0.3">
      <c r="A265" t="s">
        <v>1013</v>
      </c>
      <c r="B265" t="s">
        <v>629</v>
      </c>
      <c r="C265" t="s">
        <v>630</v>
      </c>
      <c r="D265">
        <v>1</v>
      </c>
      <c r="E265" t="s">
        <v>631</v>
      </c>
      <c r="F265" t="s">
        <v>630</v>
      </c>
      <c r="G265">
        <v>3062</v>
      </c>
      <c r="H265">
        <v>1987</v>
      </c>
      <c r="I265">
        <v>111</v>
      </c>
      <c r="J265">
        <v>180</v>
      </c>
      <c r="K265">
        <v>0</v>
      </c>
      <c r="L265" t="s">
        <v>632</v>
      </c>
      <c r="M265" t="s">
        <v>637</v>
      </c>
      <c r="N265">
        <f t="shared" si="4"/>
        <v>5049</v>
      </c>
    </row>
    <row r="266" spans="1:14" x14ac:dyDescent="0.3">
      <c r="A266" t="s">
        <v>1015</v>
      </c>
      <c r="B266" t="s">
        <v>629</v>
      </c>
      <c r="C266" t="s">
        <v>635</v>
      </c>
      <c r="D266">
        <v>0</v>
      </c>
      <c r="E266" t="s">
        <v>631</v>
      </c>
      <c r="F266" t="s">
        <v>630</v>
      </c>
      <c r="G266">
        <v>4817</v>
      </c>
      <c r="H266">
        <v>923</v>
      </c>
      <c r="I266">
        <v>120</v>
      </c>
      <c r="J266">
        <v>180</v>
      </c>
      <c r="K266">
        <v>1</v>
      </c>
      <c r="L266" t="s">
        <v>632</v>
      </c>
      <c r="M266" t="s">
        <v>633</v>
      </c>
      <c r="N266">
        <f t="shared" si="4"/>
        <v>5740</v>
      </c>
    </row>
    <row r="267" spans="1:14" x14ac:dyDescent="0.3">
      <c r="A267" t="s">
        <v>1016</v>
      </c>
      <c r="B267" t="s">
        <v>629</v>
      </c>
      <c r="C267" t="s">
        <v>635</v>
      </c>
      <c r="D267" t="s">
        <v>645</v>
      </c>
      <c r="E267" t="s">
        <v>631</v>
      </c>
      <c r="F267" t="s">
        <v>630</v>
      </c>
      <c r="G267">
        <v>8750</v>
      </c>
      <c r="H267">
        <v>4996</v>
      </c>
      <c r="I267">
        <v>130</v>
      </c>
      <c r="J267">
        <v>360</v>
      </c>
      <c r="K267">
        <v>1</v>
      </c>
      <c r="L267" t="s">
        <v>636</v>
      </c>
      <c r="M267" t="s">
        <v>633</v>
      </c>
      <c r="N267">
        <f t="shared" si="4"/>
        <v>13746</v>
      </c>
    </row>
    <row r="268" spans="1:14" x14ac:dyDescent="0.3">
      <c r="A268" t="s">
        <v>1018</v>
      </c>
      <c r="B268" t="s">
        <v>629</v>
      </c>
      <c r="C268" t="s">
        <v>630</v>
      </c>
      <c r="D268">
        <v>0</v>
      </c>
      <c r="E268" t="s">
        <v>631</v>
      </c>
      <c r="F268" t="s">
        <v>630</v>
      </c>
      <c r="G268">
        <v>3069</v>
      </c>
      <c r="H268">
        <v>0</v>
      </c>
      <c r="I268">
        <v>71</v>
      </c>
      <c r="J268">
        <v>480</v>
      </c>
      <c r="K268">
        <v>1</v>
      </c>
      <c r="L268" t="s">
        <v>632</v>
      </c>
      <c r="M268" t="s">
        <v>637</v>
      </c>
      <c r="N268">
        <f t="shared" si="4"/>
        <v>3069</v>
      </c>
    </row>
    <row r="269" spans="1:14" x14ac:dyDescent="0.3">
      <c r="A269" t="s">
        <v>1019</v>
      </c>
      <c r="B269" t="s">
        <v>629</v>
      </c>
      <c r="C269" t="s">
        <v>635</v>
      </c>
      <c r="D269">
        <v>2</v>
      </c>
      <c r="E269" t="s">
        <v>631</v>
      </c>
      <c r="F269" t="s">
        <v>630</v>
      </c>
      <c r="G269">
        <v>5391</v>
      </c>
      <c r="H269">
        <v>0</v>
      </c>
      <c r="I269">
        <v>130</v>
      </c>
      <c r="J269">
        <v>360</v>
      </c>
      <c r="K269">
        <v>1</v>
      </c>
      <c r="L269" t="s">
        <v>632</v>
      </c>
      <c r="M269" t="s">
        <v>633</v>
      </c>
      <c r="N269">
        <f t="shared" si="4"/>
        <v>5391</v>
      </c>
    </row>
    <row r="270" spans="1:14" x14ac:dyDescent="0.3">
      <c r="A270" t="s">
        <v>1022</v>
      </c>
      <c r="B270" t="s">
        <v>657</v>
      </c>
      <c r="C270" t="s">
        <v>630</v>
      </c>
      <c r="D270">
        <v>0</v>
      </c>
      <c r="E270" t="s">
        <v>631</v>
      </c>
      <c r="F270" t="s">
        <v>630</v>
      </c>
      <c r="G270">
        <v>6000</v>
      </c>
      <c r="H270">
        <v>0</v>
      </c>
      <c r="I270">
        <v>156</v>
      </c>
      <c r="J270">
        <v>360</v>
      </c>
      <c r="K270">
        <v>1</v>
      </c>
      <c r="L270" t="s">
        <v>632</v>
      </c>
      <c r="M270" t="s">
        <v>633</v>
      </c>
      <c r="N270">
        <f t="shared" si="4"/>
        <v>6000</v>
      </c>
    </row>
    <row r="271" spans="1:14" x14ac:dyDescent="0.3">
      <c r="A271" t="s">
        <v>1023</v>
      </c>
      <c r="B271" t="s">
        <v>629</v>
      </c>
      <c r="C271" t="s">
        <v>630</v>
      </c>
      <c r="D271">
        <v>0</v>
      </c>
      <c r="E271" t="s">
        <v>631</v>
      </c>
      <c r="F271" t="s">
        <v>635</v>
      </c>
      <c r="G271">
        <v>7167</v>
      </c>
      <c r="H271">
        <v>0</v>
      </c>
      <c r="I271">
        <v>128</v>
      </c>
      <c r="J271">
        <v>360</v>
      </c>
      <c r="K271">
        <v>1</v>
      </c>
      <c r="L271" t="s">
        <v>632</v>
      </c>
      <c r="M271" t="s">
        <v>633</v>
      </c>
      <c r="N271">
        <f t="shared" si="4"/>
        <v>7167</v>
      </c>
    </row>
    <row r="272" spans="1:14" x14ac:dyDescent="0.3">
      <c r="A272" t="s">
        <v>1024</v>
      </c>
      <c r="B272" t="s">
        <v>629</v>
      </c>
      <c r="C272" t="s">
        <v>635</v>
      </c>
      <c r="D272">
        <v>2</v>
      </c>
      <c r="E272" t="s">
        <v>631</v>
      </c>
      <c r="F272" t="s">
        <v>630</v>
      </c>
      <c r="G272">
        <v>4566</v>
      </c>
      <c r="H272">
        <v>0</v>
      </c>
      <c r="I272">
        <v>100</v>
      </c>
      <c r="J272">
        <v>360</v>
      </c>
      <c r="K272">
        <v>1</v>
      </c>
      <c r="L272" t="s">
        <v>632</v>
      </c>
      <c r="M272" t="s">
        <v>637</v>
      </c>
      <c r="N272">
        <f t="shared" si="4"/>
        <v>4566</v>
      </c>
    </row>
    <row r="273" spans="1:14" x14ac:dyDescent="0.3">
      <c r="A273" t="s">
        <v>1026</v>
      </c>
      <c r="B273" t="s">
        <v>629</v>
      </c>
      <c r="C273" t="s">
        <v>630</v>
      </c>
      <c r="D273">
        <v>0</v>
      </c>
      <c r="E273" t="s">
        <v>640</v>
      </c>
      <c r="F273" t="s">
        <v>630</v>
      </c>
      <c r="G273">
        <v>2346</v>
      </c>
      <c r="H273">
        <v>1600</v>
      </c>
      <c r="I273">
        <v>132</v>
      </c>
      <c r="J273">
        <v>360</v>
      </c>
      <c r="K273">
        <v>1</v>
      </c>
      <c r="L273" t="s">
        <v>646</v>
      </c>
      <c r="M273" t="s">
        <v>633</v>
      </c>
      <c r="N273">
        <f t="shared" si="4"/>
        <v>3946</v>
      </c>
    </row>
    <row r="274" spans="1:14" x14ac:dyDescent="0.3">
      <c r="A274" t="s">
        <v>1028</v>
      </c>
      <c r="B274" t="s">
        <v>629</v>
      </c>
      <c r="C274" t="s">
        <v>635</v>
      </c>
      <c r="D274">
        <v>0</v>
      </c>
      <c r="E274" t="s">
        <v>631</v>
      </c>
      <c r="F274" t="s">
        <v>630</v>
      </c>
      <c r="G274">
        <v>2333</v>
      </c>
      <c r="H274">
        <v>2417</v>
      </c>
      <c r="I274">
        <v>136</v>
      </c>
      <c r="J274">
        <v>360</v>
      </c>
      <c r="K274">
        <v>1</v>
      </c>
      <c r="L274" t="s">
        <v>632</v>
      </c>
      <c r="M274" t="s">
        <v>633</v>
      </c>
      <c r="N274">
        <f t="shared" si="4"/>
        <v>4750</v>
      </c>
    </row>
    <row r="275" spans="1:14" x14ac:dyDescent="0.3">
      <c r="A275" t="s">
        <v>1029</v>
      </c>
      <c r="B275" t="s">
        <v>629</v>
      </c>
      <c r="C275" t="s">
        <v>635</v>
      </c>
      <c r="D275">
        <v>0</v>
      </c>
      <c r="E275" t="s">
        <v>631</v>
      </c>
      <c r="F275" t="s">
        <v>630</v>
      </c>
      <c r="G275">
        <v>5488</v>
      </c>
      <c r="H275">
        <v>0</v>
      </c>
      <c r="I275">
        <v>125</v>
      </c>
      <c r="J275">
        <v>360</v>
      </c>
      <c r="K275">
        <v>1</v>
      </c>
      <c r="L275" t="s">
        <v>636</v>
      </c>
      <c r="M275" t="s">
        <v>633</v>
      </c>
      <c r="N275">
        <f t="shared" si="4"/>
        <v>5488</v>
      </c>
    </row>
    <row r="276" spans="1:14" x14ac:dyDescent="0.3">
      <c r="A276" t="s">
        <v>1030</v>
      </c>
      <c r="B276" t="s">
        <v>629</v>
      </c>
      <c r="C276" t="s">
        <v>630</v>
      </c>
      <c r="D276" t="s">
        <v>645</v>
      </c>
      <c r="E276" t="s">
        <v>631</v>
      </c>
      <c r="F276" t="s">
        <v>630</v>
      </c>
      <c r="G276">
        <v>9167</v>
      </c>
      <c r="H276">
        <v>0</v>
      </c>
      <c r="I276">
        <v>185</v>
      </c>
      <c r="J276">
        <v>360</v>
      </c>
      <c r="K276">
        <v>1</v>
      </c>
      <c r="L276" t="s">
        <v>636</v>
      </c>
      <c r="M276" t="s">
        <v>633</v>
      </c>
      <c r="N276">
        <f t="shared" si="4"/>
        <v>9167</v>
      </c>
    </row>
    <row r="277" spans="1:14" x14ac:dyDescent="0.3">
      <c r="A277" t="s">
        <v>1031</v>
      </c>
      <c r="B277" t="s">
        <v>629</v>
      </c>
      <c r="C277" t="s">
        <v>635</v>
      </c>
      <c r="D277" t="s">
        <v>645</v>
      </c>
      <c r="E277" t="s">
        <v>631</v>
      </c>
      <c r="F277" t="s">
        <v>630</v>
      </c>
      <c r="G277">
        <v>9504</v>
      </c>
      <c r="H277">
        <v>0</v>
      </c>
      <c r="I277">
        <v>275</v>
      </c>
      <c r="J277">
        <v>360</v>
      </c>
      <c r="K277">
        <v>1</v>
      </c>
      <c r="L277" t="s">
        <v>636</v>
      </c>
      <c r="M277" t="s">
        <v>633</v>
      </c>
      <c r="N277">
        <f t="shared" si="4"/>
        <v>9504</v>
      </c>
    </row>
    <row r="278" spans="1:14" x14ac:dyDescent="0.3">
      <c r="A278" t="s">
        <v>1033</v>
      </c>
      <c r="B278" t="s">
        <v>629</v>
      </c>
      <c r="C278" t="s">
        <v>635</v>
      </c>
      <c r="D278">
        <v>2</v>
      </c>
      <c r="E278" t="s">
        <v>640</v>
      </c>
      <c r="F278" t="s">
        <v>630</v>
      </c>
      <c r="G278">
        <v>1993</v>
      </c>
      <c r="H278">
        <v>1625</v>
      </c>
      <c r="I278">
        <v>113</v>
      </c>
      <c r="J278">
        <v>180</v>
      </c>
      <c r="K278">
        <v>1</v>
      </c>
      <c r="L278" t="s">
        <v>646</v>
      </c>
      <c r="M278" t="s">
        <v>633</v>
      </c>
      <c r="N278">
        <f t="shared" si="4"/>
        <v>3618</v>
      </c>
    </row>
    <row r="279" spans="1:14" x14ac:dyDescent="0.3">
      <c r="A279" t="s">
        <v>1034</v>
      </c>
      <c r="B279" t="s">
        <v>629</v>
      </c>
      <c r="C279" t="s">
        <v>635</v>
      </c>
      <c r="D279">
        <v>2</v>
      </c>
      <c r="E279" t="s">
        <v>631</v>
      </c>
      <c r="F279" t="s">
        <v>630</v>
      </c>
      <c r="G279">
        <v>3100</v>
      </c>
      <c r="H279">
        <v>1400</v>
      </c>
      <c r="I279">
        <v>113</v>
      </c>
      <c r="J279">
        <v>360</v>
      </c>
      <c r="K279">
        <v>1</v>
      </c>
      <c r="L279" t="s">
        <v>632</v>
      </c>
      <c r="M279" t="s">
        <v>633</v>
      </c>
      <c r="N279">
        <f t="shared" si="4"/>
        <v>4500</v>
      </c>
    </row>
    <row r="280" spans="1:14" x14ac:dyDescent="0.3">
      <c r="A280" t="s">
        <v>1036</v>
      </c>
      <c r="B280" t="s">
        <v>657</v>
      </c>
      <c r="C280" t="s">
        <v>630</v>
      </c>
      <c r="D280">
        <v>0</v>
      </c>
      <c r="E280" t="s">
        <v>631</v>
      </c>
      <c r="F280" t="s">
        <v>630</v>
      </c>
      <c r="G280">
        <v>3180</v>
      </c>
      <c r="H280">
        <v>0</v>
      </c>
      <c r="I280">
        <v>71</v>
      </c>
      <c r="J280">
        <v>360</v>
      </c>
      <c r="K280">
        <v>0</v>
      </c>
      <c r="L280" t="s">
        <v>632</v>
      </c>
      <c r="M280" t="s">
        <v>637</v>
      </c>
      <c r="N280">
        <f t="shared" si="4"/>
        <v>3180</v>
      </c>
    </row>
    <row r="281" spans="1:14" x14ac:dyDescent="0.3">
      <c r="A281" t="s">
        <v>1037</v>
      </c>
      <c r="B281" t="s">
        <v>629</v>
      </c>
      <c r="C281" t="s">
        <v>635</v>
      </c>
      <c r="D281">
        <v>0</v>
      </c>
      <c r="E281" t="s">
        <v>631</v>
      </c>
      <c r="F281" t="s">
        <v>630</v>
      </c>
      <c r="G281">
        <v>3033</v>
      </c>
      <c r="H281">
        <v>1459</v>
      </c>
      <c r="I281">
        <v>95</v>
      </c>
      <c r="J281">
        <v>360</v>
      </c>
      <c r="K281">
        <v>1</v>
      </c>
      <c r="L281" t="s">
        <v>632</v>
      </c>
      <c r="M281" t="s">
        <v>633</v>
      </c>
      <c r="N281">
        <f t="shared" si="4"/>
        <v>4492</v>
      </c>
    </row>
    <row r="282" spans="1:14" x14ac:dyDescent="0.3">
      <c r="A282" t="s">
        <v>1038</v>
      </c>
      <c r="B282" t="s">
        <v>629</v>
      </c>
      <c r="C282" t="s">
        <v>630</v>
      </c>
      <c r="D282">
        <v>0</v>
      </c>
      <c r="E282" t="s">
        <v>640</v>
      </c>
      <c r="F282" t="s">
        <v>630</v>
      </c>
      <c r="G282">
        <v>3902</v>
      </c>
      <c r="H282">
        <v>1666</v>
      </c>
      <c r="I282">
        <v>109</v>
      </c>
      <c r="J282">
        <v>360</v>
      </c>
      <c r="K282">
        <v>1</v>
      </c>
      <c r="L282" t="s">
        <v>636</v>
      </c>
      <c r="M282" t="s">
        <v>633</v>
      </c>
      <c r="N282">
        <f t="shared" si="4"/>
        <v>5568</v>
      </c>
    </row>
    <row r="283" spans="1:14" x14ac:dyDescent="0.3">
      <c r="A283" t="s">
        <v>1039</v>
      </c>
      <c r="B283" t="s">
        <v>657</v>
      </c>
      <c r="C283" t="s">
        <v>630</v>
      </c>
      <c r="D283">
        <v>0</v>
      </c>
      <c r="E283" t="s">
        <v>631</v>
      </c>
      <c r="F283" t="s">
        <v>630</v>
      </c>
      <c r="G283">
        <v>1500</v>
      </c>
      <c r="H283">
        <v>1800</v>
      </c>
      <c r="I283">
        <v>103</v>
      </c>
      <c r="J283">
        <v>360</v>
      </c>
      <c r="K283">
        <v>0</v>
      </c>
      <c r="L283" t="s">
        <v>646</v>
      </c>
      <c r="M283" t="s">
        <v>637</v>
      </c>
      <c r="N283">
        <f t="shared" si="4"/>
        <v>3300</v>
      </c>
    </row>
    <row r="284" spans="1:14" x14ac:dyDescent="0.3">
      <c r="A284" t="s">
        <v>1040</v>
      </c>
      <c r="B284" t="s">
        <v>629</v>
      </c>
      <c r="C284" t="s">
        <v>635</v>
      </c>
      <c r="D284">
        <v>2</v>
      </c>
      <c r="E284" t="s">
        <v>640</v>
      </c>
      <c r="F284" t="s">
        <v>630</v>
      </c>
      <c r="G284">
        <v>2889</v>
      </c>
      <c r="H284">
        <v>0</v>
      </c>
      <c r="I284">
        <v>45</v>
      </c>
      <c r="J284">
        <v>180</v>
      </c>
      <c r="K284">
        <v>0</v>
      </c>
      <c r="L284" t="s">
        <v>632</v>
      </c>
      <c r="M284" t="s">
        <v>637</v>
      </c>
      <c r="N284">
        <f t="shared" si="4"/>
        <v>2889</v>
      </c>
    </row>
    <row r="285" spans="1:14" x14ac:dyDescent="0.3">
      <c r="A285" t="s">
        <v>1041</v>
      </c>
      <c r="B285" t="s">
        <v>629</v>
      </c>
      <c r="C285" t="s">
        <v>630</v>
      </c>
      <c r="D285">
        <v>0</v>
      </c>
      <c r="E285" t="s">
        <v>640</v>
      </c>
      <c r="F285" t="s">
        <v>630</v>
      </c>
      <c r="G285">
        <v>2755</v>
      </c>
      <c r="H285">
        <v>0</v>
      </c>
      <c r="I285">
        <v>65</v>
      </c>
      <c r="J285">
        <v>300</v>
      </c>
      <c r="K285">
        <v>1</v>
      </c>
      <c r="L285" t="s">
        <v>636</v>
      </c>
      <c r="M285" t="s">
        <v>637</v>
      </c>
      <c r="N285">
        <f t="shared" si="4"/>
        <v>2755</v>
      </c>
    </row>
    <row r="286" spans="1:14" x14ac:dyDescent="0.3">
      <c r="A286" t="s">
        <v>1042</v>
      </c>
      <c r="B286" t="s">
        <v>629</v>
      </c>
      <c r="C286" t="s">
        <v>630</v>
      </c>
      <c r="D286">
        <v>0</v>
      </c>
      <c r="E286" t="s">
        <v>631</v>
      </c>
      <c r="F286" t="s">
        <v>630</v>
      </c>
      <c r="G286">
        <v>2500</v>
      </c>
      <c r="H286">
        <v>20000</v>
      </c>
      <c r="I286">
        <v>103</v>
      </c>
      <c r="J286">
        <v>360</v>
      </c>
      <c r="K286">
        <v>1</v>
      </c>
      <c r="L286" t="s">
        <v>646</v>
      </c>
      <c r="M286" t="s">
        <v>633</v>
      </c>
      <c r="N286">
        <f t="shared" si="4"/>
        <v>22500</v>
      </c>
    </row>
    <row r="287" spans="1:14" x14ac:dyDescent="0.3">
      <c r="A287" t="s">
        <v>1043</v>
      </c>
      <c r="B287" t="s">
        <v>657</v>
      </c>
      <c r="C287" t="s">
        <v>630</v>
      </c>
      <c r="D287">
        <v>0</v>
      </c>
      <c r="E287" t="s">
        <v>640</v>
      </c>
      <c r="F287" t="s">
        <v>630</v>
      </c>
      <c r="G287">
        <v>1963</v>
      </c>
      <c r="H287">
        <v>0</v>
      </c>
      <c r="I287">
        <v>53</v>
      </c>
      <c r="J287">
        <v>360</v>
      </c>
      <c r="K287">
        <v>1</v>
      </c>
      <c r="L287" t="s">
        <v>646</v>
      </c>
      <c r="M287" t="s">
        <v>633</v>
      </c>
      <c r="N287">
        <f t="shared" si="4"/>
        <v>1963</v>
      </c>
    </row>
    <row r="288" spans="1:14" x14ac:dyDescent="0.3">
      <c r="A288" t="s">
        <v>1044</v>
      </c>
      <c r="B288" t="s">
        <v>657</v>
      </c>
      <c r="C288" t="s">
        <v>630</v>
      </c>
      <c r="D288">
        <v>0</v>
      </c>
      <c r="E288" t="s">
        <v>631</v>
      </c>
      <c r="F288" t="s">
        <v>635</v>
      </c>
      <c r="G288">
        <v>7441</v>
      </c>
      <c r="H288">
        <v>0</v>
      </c>
      <c r="I288">
        <v>194</v>
      </c>
      <c r="J288">
        <v>360</v>
      </c>
      <c r="K288">
        <v>1</v>
      </c>
      <c r="L288" t="s">
        <v>636</v>
      </c>
      <c r="M288" t="s">
        <v>637</v>
      </c>
      <c r="N288">
        <f t="shared" si="4"/>
        <v>7441</v>
      </c>
    </row>
    <row r="289" spans="1:14" x14ac:dyDescent="0.3">
      <c r="A289" t="s">
        <v>1045</v>
      </c>
      <c r="B289" t="s">
        <v>657</v>
      </c>
      <c r="C289" t="s">
        <v>630</v>
      </c>
      <c r="D289">
        <v>0</v>
      </c>
      <c r="E289" t="s">
        <v>631</v>
      </c>
      <c r="F289" t="s">
        <v>630</v>
      </c>
      <c r="G289">
        <v>4547</v>
      </c>
      <c r="H289">
        <v>0</v>
      </c>
      <c r="I289">
        <v>115</v>
      </c>
      <c r="J289">
        <v>360</v>
      </c>
      <c r="K289">
        <v>1</v>
      </c>
      <c r="L289" t="s">
        <v>646</v>
      </c>
      <c r="M289" t="s">
        <v>633</v>
      </c>
      <c r="N289">
        <f t="shared" si="4"/>
        <v>4547</v>
      </c>
    </row>
    <row r="290" spans="1:14" x14ac:dyDescent="0.3">
      <c r="A290" t="s">
        <v>1046</v>
      </c>
      <c r="B290" t="s">
        <v>629</v>
      </c>
      <c r="C290" t="s">
        <v>635</v>
      </c>
      <c r="D290">
        <v>0</v>
      </c>
      <c r="E290" t="s">
        <v>640</v>
      </c>
      <c r="F290" t="s">
        <v>630</v>
      </c>
      <c r="G290">
        <v>2167</v>
      </c>
      <c r="H290">
        <v>2400</v>
      </c>
      <c r="I290">
        <v>115</v>
      </c>
      <c r="J290">
        <v>360</v>
      </c>
      <c r="K290">
        <v>1</v>
      </c>
      <c r="L290" t="s">
        <v>632</v>
      </c>
      <c r="M290" t="s">
        <v>633</v>
      </c>
      <c r="N290">
        <f t="shared" si="4"/>
        <v>4567</v>
      </c>
    </row>
    <row r="291" spans="1:14" x14ac:dyDescent="0.3">
      <c r="A291" t="s">
        <v>1047</v>
      </c>
      <c r="B291" t="s">
        <v>657</v>
      </c>
      <c r="C291" t="s">
        <v>630</v>
      </c>
      <c r="D291">
        <v>0</v>
      </c>
      <c r="E291" t="s">
        <v>640</v>
      </c>
      <c r="F291" t="s">
        <v>630</v>
      </c>
      <c r="G291">
        <v>2213</v>
      </c>
      <c r="H291">
        <v>0</v>
      </c>
      <c r="I291">
        <v>66</v>
      </c>
      <c r="J291">
        <v>360</v>
      </c>
      <c r="K291">
        <v>1</v>
      </c>
      <c r="L291" t="s">
        <v>636</v>
      </c>
      <c r="M291" t="s">
        <v>633</v>
      </c>
      <c r="N291">
        <f t="shared" si="4"/>
        <v>2213</v>
      </c>
    </row>
    <row r="292" spans="1:14" x14ac:dyDescent="0.3">
      <c r="A292" t="s">
        <v>1048</v>
      </c>
      <c r="B292" t="s">
        <v>629</v>
      </c>
      <c r="C292" t="s">
        <v>635</v>
      </c>
      <c r="D292">
        <v>1</v>
      </c>
      <c r="E292" t="s">
        <v>631</v>
      </c>
      <c r="F292" t="s">
        <v>630</v>
      </c>
      <c r="G292">
        <v>8300</v>
      </c>
      <c r="H292">
        <v>0</v>
      </c>
      <c r="I292">
        <v>152</v>
      </c>
      <c r="J292">
        <v>300</v>
      </c>
      <c r="K292">
        <v>0</v>
      </c>
      <c r="L292" t="s">
        <v>646</v>
      </c>
      <c r="M292" t="s">
        <v>637</v>
      </c>
      <c r="N292">
        <f t="shared" si="4"/>
        <v>8300</v>
      </c>
    </row>
    <row r="293" spans="1:14" x14ac:dyDescent="0.3">
      <c r="A293" t="s">
        <v>1050</v>
      </c>
      <c r="B293" t="s">
        <v>657</v>
      </c>
      <c r="C293" t="s">
        <v>630</v>
      </c>
      <c r="D293">
        <v>1</v>
      </c>
      <c r="E293" t="s">
        <v>640</v>
      </c>
      <c r="F293" t="s">
        <v>635</v>
      </c>
      <c r="G293">
        <v>3867</v>
      </c>
      <c r="H293">
        <v>0</v>
      </c>
      <c r="I293">
        <v>62</v>
      </c>
      <c r="J293">
        <v>360</v>
      </c>
      <c r="K293">
        <v>1</v>
      </c>
      <c r="L293" t="s">
        <v>646</v>
      </c>
      <c r="M293" t="s">
        <v>637</v>
      </c>
      <c r="N293">
        <f t="shared" si="4"/>
        <v>3867</v>
      </c>
    </row>
    <row r="294" spans="1:14" x14ac:dyDescent="0.3">
      <c r="A294" t="s">
        <v>1052</v>
      </c>
      <c r="B294" t="s">
        <v>629</v>
      </c>
      <c r="C294" t="s">
        <v>635</v>
      </c>
      <c r="D294">
        <v>0</v>
      </c>
      <c r="E294" t="s">
        <v>640</v>
      </c>
      <c r="F294" t="s">
        <v>630</v>
      </c>
      <c r="G294">
        <v>6096</v>
      </c>
      <c r="H294">
        <v>0</v>
      </c>
      <c r="I294">
        <v>218</v>
      </c>
      <c r="J294">
        <v>360</v>
      </c>
      <c r="K294">
        <v>0</v>
      </c>
      <c r="L294" t="s">
        <v>636</v>
      </c>
      <c r="M294" t="s">
        <v>637</v>
      </c>
      <c r="N294">
        <f t="shared" si="4"/>
        <v>6096</v>
      </c>
    </row>
    <row r="295" spans="1:14" x14ac:dyDescent="0.3">
      <c r="A295" t="s">
        <v>1053</v>
      </c>
      <c r="B295" t="s">
        <v>629</v>
      </c>
      <c r="C295" t="s">
        <v>635</v>
      </c>
      <c r="D295">
        <v>0</v>
      </c>
      <c r="E295" t="s">
        <v>640</v>
      </c>
      <c r="F295" t="s">
        <v>630</v>
      </c>
      <c r="G295">
        <v>2253</v>
      </c>
      <c r="H295">
        <v>2033</v>
      </c>
      <c r="I295">
        <v>110</v>
      </c>
      <c r="J295">
        <v>360</v>
      </c>
      <c r="K295">
        <v>1</v>
      </c>
      <c r="L295" t="s">
        <v>636</v>
      </c>
      <c r="M295" t="s">
        <v>633</v>
      </c>
      <c r="N295">
        <f t="shared" si="4"/>
        <v>4286</v>
      </c>
    </row>
    <row r="296" spans="1:14" x14ac:dyDescent="0.3">
      <c r="A296" t="s">
        <v>1054</v>
      </c>
      <c r="B296" t="s">
        <v>657</v>
      </c>
      <c r="C296" t="s">
        <v>635</v>
      </c>
      <c r="D296">
        <v>0</v>
      </c>
      <c r="E296" t="s">
        <v>640</v>
      </c>
      <c r="F296" t="s">
        <v>630</v>
      </c>
      <c r="G296">
        <v>2149</v>
      </c>
      <c r="H296">
        <v>3237</v>
      </c>
      <c r="I296">
        <v>178</v>
      </c>
      <c r="J296">
        <v>360</v>
      </c>
      <c r="K296">
        <v>0</v>
      </c>
      <c r="L296" t="s">
        <v>646</v>
      </c>
      <c r="M296" t="s">
        <v>637</v>
      </c>
      <c r="N296">
        <f t="shared" si="4"/>
        <v>5386</v>
      </c>
    </row>
    <row r="297" spans="1:14" x14ac:dyDescent="0.3">
      <c r="A297" t="s">
        <v>1055</v>
      </c>
      <c r="B297" t="s">
        <v>657</v>
      </c>
      <c r="C297" t="s">
        <v>630</v>
      </c>
      <c r="D297">
        <v>0</v>
      </c>
      <c r="E297" t="s">
        <v>631</v>
      </c>
      <c r="F297" t="s">
        <v>630</v>
      </c>
      <c r="G297">
        <v>2995</v>
      </c>
      <c r="H297">
        <v>0</v>
      </c>
      <c r="I297">
        <v>60</v>
      </c>
      <c r="J297">
        <v>360</v>
      </c>
      <c r="K297">
        <v>1</v>
      </c>
      <c r="L297" t="s">
        <v>632</v>
      </c>
      <c r="M297" t="s">
        <v>633</v>
      </c>
      <c r="N297">
        <f t="shared" si="4"/>
        <v>2995</v>
      </c>
    </row>
    <row r="298" spans="1:14" x14ac:dyDescent="0.3">
      <c r="A298" t="s">
        <v>1056</v>
      </c>
      <c r="B298" t="s">
        <v>657</v>
      </c>
      <c r="C298" t="s">
        <v>630</v>
      </c>
      <c r="D298">
        <v>1</v>
      </c>
      <c r="E298" t="s">
        <v>631</v>
      </c>
      <c r="F298" t="s">
        <v>630</v>
      </c>
      <c r="G298">
        <v>2600</v>
      </c>
      <c r="H298">
        <v>0</v>
      </c>
      <c r="I298">
        <v>160</v>
      </c>
      <c r="J298">
        <v>360</v>
      </c>
      <c r="K298">
        <v>1</v>
      </c>
      <c r="L298" t="s">
        <v>632</v>
      </c>
      <c r="M298" t="s">
        <v>637</v>
      </c>
      <c r="N298">
        <f t="shared" si="4"/>
        <v>2600</v>
      </c>
    </row>
    <row r="299" spans="1:14" x14ac:dyDescent="0.3">
      <c r="A299" t="s">
        <v>1057</v>
      </c>
      <c r="B299" t="s">
        <v>629</v>
      </c>
      <c r="C299" t="s">
        <v>635</v>
      </c>
      <c r="D299">
        <v>2</v>
      </c>
      <c r="E299" t="s">
        <v>631</v>
      </c>
      <c r="F299" t="s">
        <v>635</v>
      </c>
      <c r="G299">
        <v>1600</v>
      </c>
      <c r="H299">
        <v>20000</v>
      </c>
      <c r="I299">
        <v>239</v>
      </c>
      <c r="J299">
        <v>360</v>
      </c>
      <c r="K299">
        <v>1</v>
      </c>
      <c r="L299" t="s">
        <v>632</v>
      </c>
      <c r="M299" t="s">
        <v>637</v>
      </c>
      <c r="N299">
        <f t="shared" si="4"/>
        <v>21600</v>
      </c>
    </row>
    <row r="300" spans="1:14" x14ac:dyDescent="0.3">
      <c r="A300" t="s">
        <v>1058</v>
      </c>
      <c r="B300" t="s">
        <v>629</v>
      </c>
      <c r="C300" t="s">
        <v>635</v>
      </c>
      <c r="D300">
        <v>0</v>
      </c>
      <c r="E300" t="s">
        <v>631</v>
      </c>
      <c r="F300" t="s">
        <v>630</v>
      </c>
      <c r="G300">
        <v>1025</v>
      </c>
      <c r="H300">
        <v>2773</v>
      </c>
      <c r="I300">
        <v>112</v>
      </c>
      <c r="J300">
        <v>360</v>
      </c>
      <c r="K300">
        <v>1</v>
      </c>
      <c r="L300" t="s">
        <v>636</v>
      </c>
      <c r="M300" t="s">
        <v>633</v>
      </c>
      <c r="N300">
        <f t="shared" si="4"/>
        <v>3798</v>
      </c>
    </row>
    <row r="301" spans="1:14" x14ac:dyDescent="0.3">
      <c r="A301" t="s">
        <v>1059</v>
      </c>
      <c r="B301" t="s">
        <v>629</v>
      </c>
      <c r="C301" t="s">
        <v>635</v>
      </c>
      <c r="D301">
        <v>0</v>
      </c>
      <c r="E301" t="s">
        <v>631</v>
      </c>
      <c r="F301" t="s">
        <v>630</v>
      </c>
      <c r="G301">
        <v>3246</v>
      </c>
      <c r="H301">
        <v>1417</v>
      </c>
      <c r="I301">
        <v>138</v>
      </c>
      <c r="J301">
        <v>360</v>
      </c>
      <c r="K301">
        <v>1</v>
      </c>
      <c r="L301" t="s">
        <v>646</v>
      </c>
      <c r="M301" t="s">
        <v>633</v>
      </c>
      <c r="N301">
        <f t="shared" si="4"/>
        <v>4663</v>
      </c>
    </row>
    <row r="302" spans="1:14" x14ac:dyDescent="0.3">
      <c r="A302" t="s">
        <v>1060</v>
      </c>
      <c r="B302" t="s">
        <v>629</v>
      </c>
      <c r="C302" t="s">
        <v>635</v>
      </c>
      <c r="D302">
        <v>0</v>
      </c>
      <c r="E302" t="s">
        <v>631</v>
      </c>
      <c r="F302" t="s">
        <v>630</v>
      </c>
      <c r="G302">
        <v>5829</v>
      </c>
      <c r="H302">
        <v>0</v>
      </c>
      <c r="I302">
        <v>138</v>
      </c>
      <c r="J302">
        <v>360</v>
      </c>
      <c r="K302">
        <v>1</v>
      </c>
      <c r="L302" t="s">
        <v>636</v>
      </c>
      <c r="M302" t="s">
        <v>633</v>
      </c>
      <c r="N302">
        <f t="shared" si="4"/>
        <v>5829</v>
      </c>
    </row>
    <row r="303" spans="1:14" x14ac:dyDescent="0.3">
      <c r="A303" t="s">
        <v>1062</v>
      </c>
      <c r="B303" t="s">
        <v>629</v>
      </c>
      <c r="C303" t="s">
        <v>635</v>
      </c>
      <c r="D303">
        <v>0</v>
      </c>
      <c r="E303" t="s">
        <v>631</v>
      </c>
      <c r="F303" t="s">
        <v>630</v>
      </c>
      <c r="G303">
        <v>1820</v>
      </c>
      <c r="H303">
        <v>1719</v>
      </c>
      <c r="I303">
        <v>100</v>
      </c>
      <c r="J303">
        <v>360</v>
      </c>
      <c r="K303">
        <v>1</v>
      </c>
      <c r="L303" t="s">
        <v>632</v>
      </c>
      <c r="M303" t="s">
        <v>633</v>
      </c>
      <c r="N303">
        <f t="shared" si="4"/>
        <v>3539</v>
      </c>
    </row>
    <row r="304" spans="1:14" x14ac:dyDescent="0.3">
      <c r="A304" t="s">
        <v>1064</v>
      </c>
      <c r="B304" t="s">
        <v>629</v>
      </c>
      <c r="C304" t="s">
        <v>635</v>
      </c>
      <c r="D304">
        <v>0</v>
      </c>
      <c r="E304" t="s">
        <v>631</v>
      </c>
      <c r="F304" t="s">
        <v>630</v>
      </c>
      <c r="G304">
        <v>14880</v>
      </c>
      <c r="H304">
        <v>0</v>
      </c>
      <c r="I304">
        <v>96</v>
      </c>
      <c r="J304">
        <v>360</v>
      </c>
      <c r="K304">
        <v>1</v>
      </c>
      <c r="L304" t="s">
        <v>646</v>
      </c>
      <c r="M304" t="s">
        <v>633</v>
      </c>
      <c r="N304">
        <f t="shared" si="4"/>
        <v>14880</v>
      </c>
    </row>
    <row r="305" spans="1:14" x14ac:dyDescent="0.3">
      <c r="A305" t="s">
        <v>1065</v>
      </c>
      <c r="B305" t="s">
        <v>629</v>
      </c>
      <c r="C305" t="s">
        <v>635</v>
      </c>
      <c r="D305">
        <v>0</v>
      </c>
      <c r="E305" t="s">
        <v>631</v>
      </c>
      <c r="F305" t="s">
        <v>630</v>
      </c>
      <c r="G305">
        <v>2666</v>
      </c>
      <c r="H305">
        <v>4300</v>
      </c>
      <c r="I305">
        <v>121</v>
      </c>
      <c r="J305">
        <v>360</v>
      </c>
      <c r="K305">
        <v>1</v>
      </c>
      <c r="L305" t="s">
        <v>636</v>
      </c>
      <c r="M305" t="s">
        <v>633</v>
      </c>
      <c r="N305">
        <f t="shared" si="4"/>
        <v>6966</v>
      </c>
    </row>
    <row r="306" spans="1:14" x14ac:dyDescent="0.3">
      <c r="A306" t="s">
        <v>1066</v>
      </c>
      <c r="B306" t="s">
        <v>657</v>
      </c>
      <c r="C306" t="s">
        <v>630</v>
      </c>
      <c r="D306">
        <v>1</v>
      </c>
      <c r="E306" t="s">
        <v>640</v>
      </c>
      <c r="F306" t="s">
        <v>630</v>
      </c>
      <c r="G306">
        <v>4606</v>
      </c>
      <c r="H306">
        <v>0</v>
      </c>
      <c r="I306">
        <v>81</v>
      </c>
      <c r="J306">
        <v>360</v>
      </c>
      <c r="K306">
        <v>1</v>
      </c>
      <c r="L306" t="s">
        <v>636</v>
      </c>
      <c r="M306" t="s">
        <v>637</v>
      </c>
      <c r="N306">
        <f t="shared" si="4"/>
        <v>4606</v>
      </c>
    </row>
    <row r="307" spans="1:14" x14ac:dyDescent="0.3">
      <c r="A307" t="s">
        <v>1067</v>
      </c>
      <c r="B307" t="s">
        <v>629</v>
      </c>
      <c r="C307" t="s">
        <v>635</v>
      </c>
      <c r="D307">
        <v>2</v>
      </c>
      <c r="E307" t="s">
        <v>631</v>
      </c>
      <c r="F307" t="s">
        <v>630</v>
      </c>
      <c r="G307">
        <v>5935</v>
      </c>
      <c r="H307">
        <v>0</v>
      </c>
      <c r="I307">
        <v>133</v>
      </c>
      <c r="J307">
        <v>360</v>
      </c>
      <c r="K307">
        <v>1</v>
      </c>
      <c r="L307" t="s">
        <v>646</v>
      </c>
      <c r="M307" t="s">
        <v>633</v>
      </c>
      <c r="N307">
        <f t="shared" si="4"/>
        <v>5935</v>
      </c>
    </row>
    <row r="308" spans="1:14" x14ac:dyDescent="0.3">
      <c r="A308" t="s">
        <v>1068</v>
      </c>
      <c r="B308" t="s">
        <v>629</v>
      </c>
      <c r="C308" t="s">
        <v>635</v>
      </c>
      <c r="D308">
        <v>0</v>
      </c>
      <c r="E308" t="s">
        <v>631</v>
      </c>
      <c r="F308" t="s">
        <v>630</v>
      </c>
      <c r="G308">
        <v>2920</v>
      </c>
      <c r="H308" s="1">
        <v>1612000084</v>
      </c>
      <c r="I308">
        <v>87</v>
      </c>
      <c r="J308">
        <v>360</v>
      </c>
      <c r="K308">
        <v>1</v>
      </c>
      <c r="L308" t="s">
        <v>636</v>
      </c>
      <c r="M308" t="s">
        <v>633</v>
      </c>
      <c r="N308">
        <f t="shared" si="4"/>
        <v>1612003004</v>
      </c>
    </row>
    <row r="309" spans="1:14" x14ac:dyDescent="0.3">
      <c r="A309" t="s">
        <v>1069</v>
      </c>
      <c r="B309" t="s">
        <v>629</v>
      </c>
      <c r="C309" t="s">
        <v>630</v>
      </c>
      <c r="D309">
        <v>0</v>
      </c>
      <c r="E309" t="s">
        <v>640</v>
      </c>
      <c r="F309" t="s">
        <v>630</v>
      </c>
      <c r="G309">
        <v>2717</v>
      </c>
      <c r="H309">
        <v>0</v>
      </c>
      <c r="I309">
        <v>60</v>
      </c>
      <c r="J309">
        <v>180</v>
      </c>
      <c r="K309">
        <v>1</v>
      </c>
      <c r="L309" t="s">
        <v>632</v>
      </c>
      <c r="M309" t="s">
        <v>633</v>
      </c>
      <c r="N309">
        <f t="shared" si="4"/>
        <v>2717</v>
      </c>
    </row>
    <row r="310" spans="1:14" x14ac:dyDescent="0.3">
      <c r="A310" t="s">
        <v>1070</v>
      </c>
      <c r="B310" t="s">
        <v>657</v>
      </c>
      <c r="C310" t="s">
        <v>630</v>
      </c>
      <c r="D310">
        <v>1</v>
      </c>
      <c r="E310" t="s">
        <v>631</v>
      </c>
      <c r="F310" t="s">
        <v>635</v>
      </c>
      <c r="G310">
        <v>8624</v>
      </c>
      <c r="H310">
        <v>0</v>
      </c>
      <c r="I310">
        <v>150</v>
      </c>
      <c r="J310">
        <v>360</v>
      </c>
      <c r="K310">
        <v>1</v>
      </c>
      <c r="L310" t="s">
        <v>646</v>
      </c>
      <c r="M310" t="s">
        <v>633</v>
      </c>
      <c r="N310">
        <f t="shared" si="4"/>
        <v>8624</v>
      </c>
    </row>
    <row r="311" spans="1:14" x14ac:dyDescent="0.3">
      <c r="A311" t="s">
        <v>1071</v>
      </c>
      <c r="B311" t="s">
        <v>629</v>
      </c>
      <c r="C311" t="s">
        <v>630</v>
      </c>
      <c r="D311">
        <v>0</v>
      </c>
      <c r="E311" t="s">
        <v>631</v>
      </c>
      <c r="F311" t="s">
        <v>630</v>
      </c>
      <c r="G311">
        <v>6500</v>
      </c>
      <c r="H311">
        <v>0</v>
      </c>
      <c r="I311">
        <v>105</v>
      </c>
      <c r="J311">
        <v>360</v>
      </c>
      <c r="K311">
        <v>0</v>
      </c>
      <c r="L311" t="s">
        <v>636</v>
      </c>
      <c r="M311" t="s">
        <v>637</v>
      </c>
      <c r="N311">
        <f t="shared" si="4"/>
        <v>6500</v>
      </c>
    </row>
    <row r="312" spans="1:14" x14ac:dyDescent="0.3">
      <c r="A312" t="s">
        <v>1073</v>
      </c>
      <c r="B312" t="s">
        <v>629</v>
      </c>
      <c r="C312" t="s">
        <v>635</v>
      </c>
      <c r="D312">
        <v>0</v>
      </c>
      <c r="E312" t="s">
        <v>631</v>
      </c>
      <c r="F312" t="s">
        <v>630</v>
      </c>
      <c r="G312">
        <v>2425</v>
      </c>
      <c r="H312">
        <v>2340</v>
      </c>
      <c r="I312">
        <v>143</v>
      </c>
      <c r="J312">
        <v>360</v>
      </c>
      <c r="K312">
        <v>1</v>
      </c>
      <c r="L312" t="s">
        <v>646</v>
      </c>
      <c r="M312" t="s">
        <v>633</v>
      </c>
      <c r="N312">
        <f t="shared" si="4"/>
        <v>4765</v>
      </c>
    </row>
    <row r="313" spans="1:14" x14ac:dyDescent="0.3">
      <c r="A313" t="s">
        <v>1074</v>
      </c>
      <c r="B313" t="s">
        <v>629</v>
      </c>
      <c r="C313" t="s">
        <v>630</v>
      </c>
      <c r="D313">
        <v>0</v>
      </c>
      <c r="E313" t="s">
        <v>631</v>
      </c>
      <c r="F313" t="s">
        <v>630</v>
      </c>
      <c r="G313">
        <v>3750</v>
      </c>
      <c r="H313">
        <v>0</v>
      </c>
      <c r="I313">
        <v>100</v>
      </c>
      <c r="J313">
        <v>360</v>
      </c>
      <c r="K313">
        <v>1</v>
      </c>
      <c r="L313" t="s">
        <v>632</v>
      </c>
      <c r="M313" t="s">
        <v>633</v>
      </c>
      <c r="N313">
        <f t="shared" si="4"/>
        <v>3750</v>
      </c>
    </row>
    <row r="314" spans="1:14" x14ac:dyDescent="0.3">
      <c r="A314" t="s">
        <v>1076</v>
      </c>
      <c r="B314" t="s">
        <v>629</v>
      </c>
      <c r="C314" t="s">
        <v>630</v>
      </c>
      <c r="D314">
        <v>0</v>
      </c>
      <c r="E314" t="s">
        <v>631</v>
      </c>
      <c r="F314" t="s">
        <v>630</v>
      </c>
      <c r="G314">
        <v>1926</v>
      </c>
      <c r="H314">
        <v>1851</v>
      </c>
      <c r="I314">
        <v>50</v>
      </c>
      <c r="J314">
        <v>360</v>
      </c>
      <c r="K314">
        <v>1</v>
      </c>
      <c r="L314" t="s">
        <v>646</v>
      </c>
      <c r="M314" t="s">
        <v>633</v>
      </c>
      <c r="N314">
        <f t="shared" si="4"/>
        <v>3777</v>
      </c>
    </row>
    <row r="315" spans="1:14" x14ac:dyDescent="0.3">
      <c r="A315" t="s">
        <v>1078</v>
      </c>
      <c r="B315" t="s">
        <v>629</v>
      </c>
      <c r="C315" t="s">
        <v>630</v>
      </c>
      <c r="D315">
        <v>0</v>
      </c>
      <c r="E315" t="s">
        <v>631</v>
      </c>
      <c r="F315" t="s">
        <v>635</v>
      </c>
      <c r="G315">
        <v>10416</v>
      </c>
      <c r="H315">
        <v>0</v>
      </c>
      <c r="I315">
        <v>187</v>
      </c>
      <c r="J315">
        <v>360</v>
      </c>
      <c r="K315">
        <v>0</v>
      </c>
      <c r="L315" t="s">
        <v>632</v>
      </c>
      <c r="M315" t="s">
        <v>637</v>
      </c>
      <c r="N315">
        <f t="shared" si="4"/>
        <v>10416</v>
      </c>
    </row>
    <row r="316" spans="1:14" x14ac:dyDescent="0.3">
      <c r="A316" t="s">
        <v>1079</v>
      </c>
      <c r="B316" t="s">
        <v>657</v>
      </c>
      <c r="C316" t="s">
        <v>635</v>
      </c>
      <c r="D316">
        <v>0</v>
      </c>
      <c r="E316" t="s">
        <v>640</v>
      </c>
      <c r="F316" t="s">
        <v>635</v>
      </c>
      <c r="G316">
        <v>7142</v>
      </c>
      <c r="H316">
        <v>0</v>
      </c>
      <c r="I316">
        <v>138</v>
      </c>
      <c r="J316">
        <v>360</v>
      </c>
      <c r="K316">
        <v>1</v>
      </c>
      <c r="L316" t="s">
        <v>636</v>
      </c>
      <c r="M316" t="s">
        <v>633</v>
      </c>
      <c r="N316">
        <f t="shared" si="4"/>
        <v>7142</v>
      </c>
    </row>
    <row r="317" spans="1:14" x14ac:dyDescent="0.3">
      <c r="A317" t="s">
        <v>1080</v>
      </c>
      <c r="B317" t="s">
        <v>629</v>
      </c>
      <c r="C317" t="s">
        <v>630</v>
      </c>
      <c r="D317">
        <v>0</v>
      </c>
      <c r="E317" t="s">
        <v>631</v>
      </c>
      <c r="F317" t="s">
        <v>630</v>
      </c>
      <c r="G317">
        <v>3660</v>
      </c>
      <c r="H317">
        <v>5064</v>
      </c>
      <c r="I317">
        <v>187</v>
      </c>
      <c r="J317">
        <v>360</v>
      </c>
      <c r="K317">
        <v>1</v>
      </c>
      <c r="L317" t="s">
        <v>646</v>
      </c>
      <c r="M317" t="s">
        <v>633</v>
      </c>
      <c r="N317">
        <f t="shared" si="4"/>
        <v>8724</v>
      </c>
    </row>
    <row r="318" spans="1:14" x14ac:dyDescent="0.3">
      <c r="A318" t="s">
        <v>1081</v>
      </c>
      <c r="B318" t="s">
        <v>629</v>
      </c>
      <c r="C318" t="s">
        <v>635</v>
      </c>
      <c r="D318">
        <v>0</v>
      </c>
      <c r="E318" t="s">
        <v>631</v>
      </c>
      <c r="F318" t="s">
        <v>630</v>
      </c>
      <c r="G318">
        <v>7901</v>
      </c>
      <c r="H318">
        <v>1833</v>
      </c>
      <c r="I318">
        <v>180</v>
      </c>
      <c r="J318">
        <v>360</v>
      </c>
      <c r="K318">
        <v>1</v>
      </c>
      <c r="L318" t="s">
        <v>636</v>
      </c>
      <c r="M318" t="s">
        <v>633</v>
      </c>
      <c r="N318">
        <f t="shared" si="4"/>
        <v>9734</v>
      </c>
    </row>
    <row r="319" spans="1:14" x14ac:dyDescent="0.3">
      <c r="A319" t="s">
        <v>1082</v>
      </c>
      <c r="B319" t="s">
        <v>629</v>
      </c>
      <c r="C319" t="s">
        <v>630</v>
      </c>
      <c r="D319" t="s">
        <v>645</v>
      </c>
      <c r="E319" t="s">
        <v>640</v>
      </c>
      <c r="F319" t="s">
        <v>630</v>
      </c>
      <c r="G319">
        <v>4707</v>
      </c>
      <c r="H319">
        <v>1993</v>
      </c>
      <c r="I319">
        <v>148</v>
      </c>
      <c r="J319">
        <v>360</v>
      </c>
      <c r="K319">
        <v>1</v>
      </c>
      <c r="L319" t="s">
        <v>646</v>
      </c>
      <c r="M319" t="s">
        <v>633</v>
      </c>
      <c r="N319">
        <f t="shared" si="4"/>
        <v>6700</v>
      </c>
    </row>
    <row r="320" spans="1:14" x14ac:dyDescent="0.3">
      <c r="A320" t="s">
        <v>1083</v>
      </c>
      <c r="B320" t="s">
        <v>629</v>
      </c>
      <c r="C320" t="s">
        <v>630</v>
      </c>
      <c r="D320">
        <v>1</v>
      </c>
      <c r="E320" t="s">
        <v>631</v>
      </c>
      <c r="F320" t="s">
        <v>630</v>
      </c>
      <c r="G320">
        <v>37719</v>
      </c>
      <c r="H320">
        <v>0</v>
      </c>
      <c r="I320">
        <v>152</v>
      </c>
      <c r="J320">
        <v>360</v>
      </c>
      <c r="K320">
        <v>1</v>
      </c>
      <c r="L320" t="s">
        <v>646</v>
      </c>
      <c r="M320" t="s">
        <v>633</v>
      </c>
      <c r="N320">
        <f t="shared" si="4"/>
        <v>37719</v>
      </c>
    </row>
    <row r="321" spans="1:14" x14ac:dyDescent="0.3">
      <c r="A321" t="s">
        <v>1085</v>
      </c>
      <c r="B321" t="s">
        <v>629</v>
      </c>
      <c r="C321" t="s">
        <v>635</v>
      </c>
      <c r="D321">
        <v>1</v>
      </c>
      <c r="E321" t="s">
        <v>631</v>
      </c>
      <c r="F321" t="s">
        <v>635</v>
      </c>
      <c r="G321">
        <v>3466</v>
      </c>
      <c r="H321">
        <v>1210</v>
      </c>
      <c r="I321">
        <v>130</v>
      </c>
      <c r="J321">
        <v>360</v>
      </c>
      <c r="K321">
        <v>1</v>
      </c>
      <c r="L321" t="s">
        <v>636</v>
      </c>
      <c r="M321" t="s">
        <v>633</v>
      </c>
      <c r="N321">
        <f t="shared" si="4"/>
        <v>4676</v>
      </c>
    </row>
    <row r="322" spans="1:14" x14ac:dyDescent="0.3">
      <c r="A322" t="s">
        <v>1086</v>
      </c>
      <c r="B322" t="s">
        <v>629</v>
      </c>
      <c r="C322" t="s">
        <v>635</v>
      </c>
      <c r="D322">
        <v>2</v>
      </c>
      <c r="E322" t="s">
        <v>640</v>
      </c>
      <c r="F322" t="s">
        <v>630</v>
      </c>
      <c r="G322">
        <v>4652</v>
      </c>
      <c r="H322">
        <v>0</v>
      </c>
      <c r="I322">
        <v>110</v>
      </c>
      <c r="J322">
        <v>360</v>
      </c>
      <c r="K322">
        <v>1</v>
      </c>
      <c r="L322" t="s">
        <v>636</v>
      </c>
      <c r="M322" t="s">
        <v>633</v>
      </c>
      <c r="N322">
        <f t="shared" si="4"/>
        <v>4652</v>
      </c>
    </row>
    <row r="323" spans="1:14" x14ac:dyDescent="0.3">
      <c r="A323" t="s">
        <v>1088</v>
      </c>
      <c r="B323" t="s">
        <v>629</v>
      </c>
      <c r="C323" t="s">
        <v>635</v>
      </c>
      <c r="D323">
        <v>2</v>
      </c>
      <c r="E323" t="s">
        <v>631</v>
      </c>
      <c r="F323" t="s">
        <v>630</v>
      </c>
      <c r="G323">
        <v>3340</v>
      </c>
      <c r="H323">
        <v>1710</v>
      </c>
      <c r="I323">
        <v>150</v>
      </c>
      <c r="J323">
        <v>360</v>
      </c>
      <c r="K323">
        <v>0</v>
      </c>
      <c r="L323" t="s">
        <v>636</v>
      </c>
      <c r="M323" t="s">
        <v>637</v>
      </c>
      <c r="N323">
        <f t="shared" ref="N323:N386" si="5">G323+H323</f>
        <v>5050</v>
      </c>
    </row>
    <row r="324" spans="1:14" x14ac:dyDescent="0.3">
      <c r="A324" t="s">
        <v>1090</v>
      </c>
      <c r="B324" t="s">
        <v>629</v>
      </c>
      <c r="C324" t="s">
        <v>635</v>
      </c>
      <c r="D324">
        <v>2</v>
      </c>
      <c r="E324" t="s">
        <v>640</v>
      </c>
      <c r="F324" t="s">
        <v>630</v>
      </c>
      <c r="G324">
        <v>2309</v>
      </c>
      <c r="H324">
        <v>1255</v>
      </c>
      <c r="I324">
        <v>125</v>
      </c>
      <c r="J324">
        <v>360</v>
      </c>
      <c r="K324">
        <v>0</v>
      </c>
      <c r="L324" t="s">
        <v>636</v>
      </c>
      <c r="M324" t="s">
        <v>637</v>
      </c>
      <c r="N324">
        <f t="shared" si="5"/>
        <v>3564</v>
      </c>
    </row>
    <row r="325" spans="1:14" x14ac:dyDescent="0.3">
      <c r="A325" t="s">
        <v>1092</v>
      </c>
      <c r="B325" t="s">
        <v>629</v>
      </c>
      <c r="C325" t="s">
        <v>635</v>
      </c>
      <c r="D325">
        <v>0</v>
      </c>
      <c r="E325" t="s">
        <v>631</v>
      </c>
      <c r="F325" t="s">
        <v>630</v>
      </c>
      <c r="G325">
        <v>3948</v>
      </c>
      <c r="H325">
        <v>1733</v>
      </c>
      <c r="I325">
        <v>149</v>
      </c>
      <c r="J325">
        <v>360</v>
      </c>
      <c r="K325">
        <v>0</v>
      </c>
      <c r="L325" t="s">
        <v>636</v>
      </c>
      <c r="M325" t="s">
        <v>637</v>
      </c>
      <c r="N325">
        <f t="shared" si="5"/>
        <v>5681</v>
      </c>
    </row>
    <row r="326" spans="1:14" x14ac:dyDescent="0.3">
      <c r="A326" t="s">
        <v>1093</v>
      </c>
      <c r="B326" t="s">
        <v>629</v>
      </c>
      <c r="C326" t="s">
        <v>635</v>
      </c>
      <c r="D326">
        <v>0</v>
      </c>
      <c r="E326" t="s">
        <v>631</v>
      </c>
      <c r="F326" t="s">
        <v>630</v>
      </c>
      <c r="G326">
        <v>2483</v>
      </c>
      <c r="H326">
        <v>2466</v>
      </c>
      <c r="I326">
        <v>90</v>
      </c>
      <c r="J326">
        <v>180</v>
      </c>
      <c r="K326">
        <v>0</v>
      </c>
      <c r="L326" t="s">
        <v>636</v>
      </c>
      <c r="M326" t="s">
        <v>633</v>
      </c>
      <c r="N326">
        <f t="shared" si="5"/>
        <v>4949</v>
      </c>
    </row>
    <row r="327" spans="1:14" x14ac:dyDescent="0.3">
      <c r="A327" t="s">
        <v>1094</v>
      </c>
      <c r="B327" t="s">
        <v>629</v>
      </c>
      <c r="C327" t="s">
        <v>630</v>
      </c>
      <c r="D327">
        <v>0</v>
      </c>
      <c r="E327" t="s">
        <v>631</v>
      </c>
      <c r="F327" t="s">
        <v>635</v>
      </c>
      <c r="G327">
        <v>7085</v>
      </c>
      <c r="H327">
        <v>0</v>
      </c>
      <c r="I327">
        <v>84</v>
      </c>
      <c r="J327">
        <v>360</v>
      </c>
      <c r="K327">
        <v>1</v>
      </c>
      <c r="L327" t="s">
        <v>646</v>
      </c>
      <c r="M327" t="s">
        <v>633</v>
      </c>
      <c r="N327">
        <f t="shared" si="5"/>
        <v>7085</v>
      </c>
    </row>
    <row r="328" spans="1:14" x14ac:dyDescent="0.3">
      <c r="A328" t="s">
        <v>1095</v>
      </c>
      <c r="B328" t="s">
        <v>629</v>
      </c>
      <c r="C328" t="s">
        <v>635</v>
      </c>
      <c r="D328">
        <v>2</v>
      </c>
      <c r="E328" t="s">
        <v>631</v>
      </c>
      <c r="F328" t="s">
        <v>630</v>
      </c>
      <c r="G328">
        <v>3859</v>
      </c>
      <c r="H328">
        <v>0</v>
      </c>
      <c r="I328">
        <v>96</v>
      </c>
      <c r="J328">
        <v>360</v>
      </c>
      <c r="K328">
        <v>1</v>
      </c>
      <c r="L328" t="s">
        <v>646</v>
      </c>
      <c r="M328" t="s">
        <v>633</v>
      </c>
      <c r="N328">
        <f t="shared" si="5"/>
        <v>3859</v>
      </c>
    </row>
    <row r="329" spans="1:14" x14ac:dyDescent="0.3">
      <c r="A329" t="s">
        <v>1096</v>
      </c>
      <c r="B329" t="s">
        <v>629</v>
      </c>
      <c r="C329" t="s">
        <v>635</v>
      </c>
      <c r="D329">
        <v>0</v>
      </c>
      <c r="E329" t="s">
        <v>631</v>
      </c>
      <c r="F329" t="s">
        <v>630</v>
      </c>
      <c r="G329">
        <v>4301</v>
      </c>
      <c r="H329">
        <v>0</v>
      </c>
      <c r="I329">
        <v>118</v>
      </c>
      <c r="J329">
        <v>360</v>
      </c>
      <c r="K329">
        <v>1</v>
      </c>
      <c r="L329" t="s">
        <v>632</v>
      </c>
      <c r="M329" t="s">
        <v>633</v>
      </c>
      <c r="N329">
        <f t="shared" si="5"/>
        <v>4301</v>
      </c>
    </row>
    <row r="330" spans="1:14" x14ac:dyDescent="0.3">
      <c r="A330" t="s">
        <v>1097</v>
      </c>
      <c r="B330" t="s">
        <v>629</v>
      </c>
      <c r="C330" t="s">
        <v>635</v>
      </c>
      <c r="D330">
        <v>0</v>
      </c>
      <c r="E330" t="s">
        <v>631</v>
      </c>
      <c r="F330" t="s">
        <v>630</v>
      </c>
      <c r="G330">
        <v>3708</v>
      </c>
      <c r="H330">
        <v>2569</v>
      </c>
      <c r="I330">
        <v>173</v>
      </c>
      <c r="J330">
        <v>360</v>
      </c>
      <c r="K330">
        <v>1</v>
      </c>
      <c r="L330" t="s">
        <v>632</v>
      </c>
      <c r="M330" t="s">
        <v>637</v>
      </c>
      <c r="N330">
        <f t="shared" si="5"/>
        <v>6277</v>
      </c>
    </row>
    <row r="331" spans="1:14" x14ac:dyDescent="0.3">
      <c r="A331" t="s">
        <v>1098</v>
      </c>
      <c r="B331" t="s">
        <v>629</v>
      </c>
      <c r="C331" t="s">
        <v>630</v>
      </c>
      <c r="D331">
        <v>2</v>
      </c>
      <c r="E331" t="s">
        <v>631</v>
      </c>
      <c r="F331" t="s">
        <v>630</v>
      </c>
      <c r="G331">
        <v>4354</v>
      </c>
      <c r="H331">
        <v>0</v>
      </c>
      <c r="I331">
        <v>136</v>
      </c>
      <c r="J331">
        <v>360</v>
      </c>
      <c r="K331">
        <v>1</v>
      </c>
      <c r="L331" t="s">
        <v>636</v>
      </c>
      <c r="M331" t="s">
        <v>633</v>
      </c>
      <c r="N331">
        <f t="shared" si="5"/>
        <v>4354</v>
      </c>
    </row>
    <row r="332" spans="1:14" x14ac:dyDescent="0.3">
      <c r="A332" t="s">
        <v>1099</v>
      </c>
      <c r="B332" t="s">
        <v>629</v>
      </c>
      <c r="C332" t="s">
        <v>635</v>
      </c>
      <c r="D332">
        <v>0</v>
      </c>
      <c r="E332" t="s">
        <v>631</v>
      </c>
      <c r="F332" t="s">
        <v>630</v>
      </c>
      <c r="G332">
        <v>8334</v>
      </c>
      <c r="H332">
        <v>0</v>
      </c>
      <c r="I332">
        <v>160</v>
      </c>
      <c r="J332">
        <v>360</v>
      </c>
      <c r="K332">
        <v>1</v>
      </c>
      <c r="L332" t="s">
        <v>646</v>
      </c>
      <c r="M332" t="s">
        <v>637</v>
      </c>
      <c r="N332">
        <f t="shared" si="5"/>
        <v>8334</v>
      </c>
    </row>
    <row r="333" spans="1:14" x14ac:dyDescent="0.3">
      <c r="A333" t="s">
        <v>1101</v>
      </c>
      <c r="B333" t="s">
        <v>629</v>
      </c>
      <c r="C333" t="s">
        <v>635</v>
      </c>
      <c r="D333" t="s">
        <v>645</v>
      </c>
      <c r="E333" t="s">
        <v>631</v>
      </c>
      <c r="F333" t="s">
        <v>630</v>
      </c>
      <c r="G333">
        <v>7740</v>
      </c>
      <c r="H333">
        <v>0</v>
      </c>
      <c r="I333">
        <v>128</v>
      </c>
      <c r="J333">
        <v>180</v>
      </c>
      <c r="K333">
        <v>1</v>
      </c>
      <c r="L333" t="s">
        <v>632</v>
      </c>
      <c r="M333" t="s">
        <v>633</v>
      </c>
      <c r="N333">
        <f t="shared" si="5"/>
        <v>7740</v>
      </c>
    </row>
    <row r="334" spans="1:14" x14ac:dyDescent="0.3">
      <c r="A334" t="s">
        <v>1102</v>
      </c>
      <c r="B334" t="s">
        <v>629</v>
      </c>
      <c r="C334" t="s">
        <v>635</v>
      </c>
      <c r="D334">
        <v>0</v>
      </c>
      <c r="E334" t="s">
        <v>631</v>
      </c>
      <c r="F334" t="s">
        <v>630</v>
      </c>
      <c r="G334">
        <v>3015</v>
      </c>
      <c r="H334">
        <v>2188</v>
      </c>
      <c r="I334">
        <v>153</v>
      </c>
      <c r="J334">
        <v>360</v>
      </c>
      <c r="K334">
        <v>1</v>
      </c>
      <c r="L334" t="s">
        <v>636</v>
      </c>
      <c r="M334" t="s">
        <v>633</v>
      </c>
      <c r="N334">
        <f t="shared" si="5"/>
        <v>5203</v>
      </c>
    </row>
    <row r="335" spans="1:14" x14ac:dyDescent="0.3">
      <c r="A335" t="s">
        <v>1104</v>
      </c>
      <c r="B335" t="s">
        <v>629</v>
      </c>
      <c r="C335" t="s">
        <v>630</v>
      </c>
      <c r="D335">
        <v>0</v>
      </c>
      <c r="E335" t="s">
        <v>631</v>
      </c>
      <c r="F335" t="s">
        <v>630</v>
      </c>
      <c r="G335">
        <v>4166</v>
      </c>
      <c r="H335">
        <v>0</v>
      </c>
      <c r="I335">
        <v>98</v>
      </c>
      <c r="J335">
        <v>360</v>
      </c>
      <c r="K335">
        <v>0</v>
      </c>
      <c r="L335" t="s">
        <v>646</v>
      </c>
      <c r="M335" t="s">
        <v>637</v>
      </c>
      <c r="N335">
        <f t="shared" si="5"/>
        <v>4166</v>
      </c>
    </row>
    <row r="336" spans="1:14" x14ac:dyDescent="0.3">
      <c r="A336" t="s">
        <v>1105</v>
      </c>
      <c r="B336" t="s">
        <v>629</v>
      </c>
      <c r="C336" t="s">
        <v>630</v>
      </c>
      <c r="D336">
        <v>0</v>
      </c>
      <c r="E336" t="s">
        <v>631</v>
      </c>
      <c r="F336" t="s">
        <v>630</v>
      </c>
      <c r="G336">
        <v>6000</v>
      </c>
      <c r="H336">
        <v>0</v>
      </c>
      <c r="I336">
        <v>140</v>
      </c>
      <c r="J336">
        <v>360</v>
      </c>
      <c r="K336">
        <v>1</v>
      </c>
      <c r="L336" t="s">
        <v>636</v>
      </c>
      <c r="M336" t="s">
        <v>633</v>
      </c>
      <c r="N336">
        <f t="shared" si="5"/>
        <v>6000</v>
      </c>
    </row>
    <row r="337" spans="1:14" x14ac:dyDescent="0.3">
      <c r="A337" t="s">
        <v>1106</v>
      </c>
      <c r="B337" t="s">
        <v>629</v>
      </c>
      <c r="C337" t="s">
        <v>635</v>
      </c>
      <c r="D337" t="s">
        <v>645</v>
      </c>
      <c r="E337" t="s">
        <v>640</v>
      </c>
      <c r="F337" t="s">
        <v>630</v>
      </c>
      <c r="G337">
        <v>2947</v>
      </c>
      <c r="H337">
        <v>1664</v>
      </c>
      <c r="I337">
        <v>70</v>
      </c>
      <c r="J337">
        <v>180</v>
      </c>
      <c r="K337">
        <v>0</v>
      </c>
      <c r="L337" t="s">
        <v>632</v>
      </c>
      <c r="M337" t="s">
        <v>637</v>
      </c>
      <c r="N337">
        <f t="shared" si="5"/>
        <v>4611</v>
      </c>
    </row>
    <row r="338" spans="1:14" x14ac:dyDescent="0.3">
      <c r="A338" t="s">
        <v>1109</v>
      </c>
      <c r="B338" t="s">
        <v>629</v>
      </c>
      <c r="C338" t="s">
        <v>635</v>
      </c>
      <c r="D338">
        <v>0</v>
      </c>
      <c r="E338" t="s">
        <v>631</v>
      </c>
      <c r="F338" t="s">
        <v>630</v>
      </c>
      <c r="G338">
        <v>4333</v>
      </c>
      <c r="H338">
        <v>2451</v>
      </c>
      <c r="I338">
        <v>110</v>
      </c>
      <c r="J338">
        <v>360</v>
      </c>
      <c r="K338">
        <v>1</v>
      </c>
      <c r="L338" t="s">
        <v>632</v>
      </c>
      <c r="M338" t="s">
        <v>637</v>
      </c>
      <c r="N338">
        <f t="shared" si="5"/>
        <v>6784</v>
      </c>
    </row>
    <row r="339" spans="1:14" x14ac:dyDescent="0.3">
      <c r="A339" t="s">
        <v>1110</v>
      </c>
      <c r="B339" t="s">
        <v>629</v>
      </c>
      <c r="C339" t="s">
        <v>635</v>
      </c>
      <c r="D339">
        <v>1</v>
      </c>
      <c r="E339" t="s">
        <v>631</v>
      </c>
      <c r="F339" t="s">
        <v>635</v>
      </c>
      <c r="G339">
        <v>3450</v>
      </c>
      <c r="H339">
        <v>2079</v>
      </c>
      <c r="I339">
        <v>162</v>
      </c>
      <c r="J339">
        <v>360</v>
      </c>
      <c r="K339">
        <v>1</v>
      </c>
      <c r="L339" t="s">
        <v>646</v>
      </c>
      <c r="M339" t="s">
        <v>633</v>
      </c>
      <c r="N339">
        <f t="shared" si="5"/>
        <v>5529</v>
      </c>
    </row>
    <row r="340" spans="1:14" x14ac:dyDescent="0.3">
      <c r="A340" t="s">
        <v>1111</v>
      </c>
      <c r="B340" t="s">
        <v>629</v>
      </c>
      <c r="C340" t="s">
        <v>635</v>
      </c>
      <c r="D340">
        <v>1</v>
      </c>
      <c r="E340" t="s">
        <v>640</v>
      </c>
      <c r="F340" t="s">
        <v>630</v>
      </c>
      <c r="G340">
        <v>2653</v>
      </c>
      <c r="H340">
        <v>1500</v>
      </c>
      <c r="I340">
        <v>113</v>
      </c>
      <c r="J340">
        <v>180</v>
      </c>
      <c r="K340">
        <v>0</v>
      </c>
      <c r="L340" t="s">
        <v>636</v>
      </c>
      <c r="M340" t="s">
        <v>637</v>
      </c>
      <c r="N340">
        <f t="shared" si="5"/>
        <v>4153</v>
      </c>
    </row>
    <row r="341" spans="1:14" x14ac:dyDescent="0.3">
      <c r="A341" t="s">
        <v>1112</v>
      </c>
      <c r="B341" t="s">
        <v>629</v>
      </c>
      <c r="C341" t="s">
        <v>635</v>
      </c>
      <c r="D341" t="s">
        <v>645</v>
      </c>
      <c r="E341" t="s">
        <v>631</v>
      </c>
      <c r="F341" t="s">
        <v>630</v>
      </c>
      <c r="G341">
        <v>4691</v>
      </c>
      <c r="H341">
        <v>0</v>
      </c>
      <c r="I341">
        <v>100</v>
      </c>
      <c r="J341">
        <v>360</v>
      </c>
      <c r="K341">
        <v>1</v>
      </c>
      <c r="L341" t="s">
        <v>646</v>
      </c>
      <c r="M341" t="s">
        <v>633</v>
      </c>
      <c r="N341">
        <f t="shared" si="5"/>
        <v>4691</v>
      </c>
    </row>
    <row r="342" spans="1:14" x14ac:dyDescent="0.3">
      <c r="A342" t="s">
        <v>1114</v>
      </c>
      <c r="B342" t="s">
        <v>629</v>
      </c>
      <c r="C342" t="s">
        <v>630</v>
      </c>
      <c r="D342">
        <v>2</v>
      </c>
      <c r="E342" t="s">
        <v>631</v>
      </c>
      <c r="F342" t="s">
        <v>630</v>
      </c>
      <c r="G342">
        <v>5532</v>
      </c>
      <c r="H342">
        <v>4648</v>
      </c>
      <c r="I342">
        <v>162</v>
      </c>
      <c r="J342">
        <v>360</v>
      </c>
      <c r="K342">
        <v>1</v>
      </c>
      <c r="L342" t="s">
        <v>636</v>
      </c>
      <c r="M342" t="s">
        <v>633</v>
      </c>
      <c r="N342">
        <f t="shared" si="5"/>
        <v>10180</v>
      </c>
    </row>
    <row r="343" spans="1:14" x14ac:dyDescent="0.3">
      <c r="A343" t="s">
        <v>1115</v>
      </c>
      <c r="B343" t="s">
        <v>629</v>
      </c>
      <c r="C343" t="s">
        <v>635</v>
      </c>
      <c r="D343">
        <v>2</v>
      </c>
      <c r="E343" t="s">
        <v>631</v>
      </c>
      <c r="F343" t="s">
        <v>635</v>
      </c>
      <c r="G343">
        <v>16525</v>
      </c>
      <c r="H343">
        <v>1014</v>
      </c>
      <c r="I343">
        <v>150</v>
      </c>
      <c r="J343">
        <v>360</v>
      </c>
      <c r="K343">
        <v>1</v>
      </c>
      <c r="L343" t="s">
        <v>636</v>
      </c>
      <c r="M343" t="s">
        <v>633</v>
      </c>
      <c r="N343">
        <f t="shared" si="5"/>
        <v>17539</v>
      </c>
    </row>
    <row r="344" spans="1:14" x14ac:dyDescent="0.3">
      <c r="A344" t="s">
        <v>1116</v>
      </c>
      <c r="B344" t="s">
        <v>629</v>
      </c>
      <c r="C344" t="s">
        <v>635</v>
      </c>
      <c r="D344">
        <v>2</v>
      </c>
      <c r="E344" t="s">
        <v>631</v>
      </c>
      <c r="F344" t="s">
        <v>630</v>
      </c>
      <c r="G344">
        <v>6700</v>
      </c>
      <c r="H344">
        <v>1750</v>
      </c>
      <c r="I344">
        <v>230</v>
      </c>
      <c r="J344">
        <v>300</v>
      </c>
      <c r="K344">
        <v>1</v>
      </c>
      <c r="L344" t="s">
        <v>646</v>
      </c>
      <c r="M344" t="s">
        <v>633</v>
      </c>
      <c r="N344">
        <f t="shared" si="5"/>
        <v>8450</v>
      </c>
    </row>
    <row r="345" spans="1:14" x14ac:dyDescent="0.3">
      <c r="A345" t="s">
        <v>1118</v>
      </c>
      <c r="B345" t="s">
        <v>629</v>
      </c>
      <c r="C345" t="s">
        <v>635</v>
      </c>
      <c r="D345">
        <v>1</v>
      </c>
      <c r="E345" t="s">
        <v>631</v>
      </c>
      <c r="F345" t="s">
        <v>635</v>
      </c>
      <c r="G345">
        <v>16667</v>
      </c>
      <c r="H345">
        <v>2250</v>
      </c>
      <c r="I345">
        <v>86</v>
      </c>
      <c r="J345">
        <v>360</v>
      </c>
      <c r="K345">
        <v>1</v>
      </c>
      <c r="L345" t="s">
        <v>646</v>
      </c>
      <c r="M345" t="s">
        <v>633</v>
      </c>
      <c r="N345">
        <f t="shared" si="5"/>
        <v>18917</v>
      </c>
    </row>
    <row r="346" spans="1:14" x14ac:dyDescent="0.3">
      <c r="A346" t="s">
        <v>1120</v>
      </c>
      <c r="B346" t="s">
        <v>657</v>
      </c>
      <c r="C346" t="s">
        <v>630</v>
      </c>
      <c r="D346">
        <v>0</v>
      </c>
      <c r="E346" t="s">
        <v>640</v>
      </c>
      <c r="F346" t="s">
        <v>630</v>
      </c>
      <c r="G346">
        <v>4350</v>
      </c>
      <c r="H346">
        <v>0</v>
      </c>
      <c r="I346">
        <v>154</v>
      </c>
      <c r="J346">
        <v>360</v>
      </c>
      <c r="K346">
        <v>1</v>
      </c>
      <c r="L346" t="s">
        <v>636</v>
      </c>
      <c r="M346" t="s">
        <v>633</v>
      </c>
      <c r="N346">
        <f t="shared" si="5"/>
        <v>4350</v>
      </c>
    </row>
    <row r="347" spans="1:14" x14ac:dyDescent="0.3">
      <c r="A347" t="s">
        <v>1121</v>
      </c>
      <c r="B347" t="s">
        <v>629</v>
      </c>
      <c r="C347" t="s">
        <v>635</v>
      </c>
      <c r="D347" t="s">
        <v>645</v>
      </c>
      <c r="E347" t="s">
        <v>640</v>
      </c>
      <c r="F347" t="s">
        <v>630</v>
      </c>
      <c r="G347">
        <v>3095</v>
      </c>
      <c r="H347">
        <v>0</v>
      </c>
      <c r="I347">
        <v>113</v>
      </c>
      <c r="J347">
        <v>360</v>
      </c>
      <c r="K347">
        <v>1</v>
      </c>
      <c r="L347" t="s">
        <v>636</v>
      </c>
      <c r="M347" t="s">
        <v>633</v>
      </c>
      <c r="N347">
        <f t="shared" si="5"/>
        <v>3095</v>
      </c>
    </row>
    <row r="348" spans="1:14" x14ac:dyDescent="0.3">
      <c r="A348" t="s">
        <v>1122</v>
      </c>
      <c r="B348" t="s">
        <v>629</v>
      </c>
      <c r="C348" t="s">
        <v>635</v>
      </c>
      <c r="D348">
        <v>0</v>
      </c>
      <c r="E348" t="s">
        <v>631</v>
      </c>
      <c r="F348" t="s">
        <v>630</v>
      </c>
      <c r="G348">
        <v>2083</v>
      </c>
      <c r="H348">
        <v>3150</v>
      </c>
      <c r="I348">
        <v>128</v>
      </c>
      <c r="J348">
        <v>360</v>
      </c>
      <c r="K348">
        <v>1</v>
      </c>
      <c r="L348" t="s">
        <v>646</v>
      </c>
      <c r="M348" t="s">
        <v>633</v>
      </c>
      <c r="N348">
        <f t="shared" si="5"/>
        <v>5233</v>
      </c>
    </row>
    <row r="349" spans="1:14" x14ac:dyDescent="0.3">
      <c r="A349" t="s">
        <v>1123</v>
      </c>
      <c r="B349" t="s">
        <v>629</v>
      </c>
      <c r="C349" t="s">
        <v>635</v>
      </c>
      <c r="D349">
        <v>0</v>
      </c>
      <c r="E349" t="s">
        <v>631</v>
      </c>
      <c r="F349" t="s">
        <v>630</v>
      </c>
      <c r="G349">
        <v>10833</v>
      </c>
      <c r="H349">
        <v>0</v>
      </c>
      <c r="I349">
        <v>234</v>
      </c>
      <c r="J349">
        <v>360</v>
      </c>
      <c r="K349">
        <v>1</v>
      </c>
      <c r="L349" t="s">
        <v>646</v>
      </c>
      <c r="M349" t="s">
        <v>633</v>
      </c>
      <c r="N349">
        <f t="shared" si="5"/>
        <v>10833</v>
      </c>
    </row>
    <row r="350" spans="1:14" x14ac:dyDescent="0.3">
      <c r="A350" t="s">
        <v>1124</v>
      </c>
      <c r="B350" t="s">
        <v>629</v>
      </c>
      <c r="C350" t="s">
        <v>635</v>
      </c>
      <c r="D350">
        <v>2</v>
      </c>
      <c r="E350" t="s">
        <v>631</v>
      </c>
      <c r="F350" t="s">
        <v>630</v>
      </c>
      <c r="G350">
        <v>8333</v>
      </c>
      <c r="H350">
        <v>0</v>
      </c>
      <c r="I350">
        <v>246</v>
      </c>
      <c r="J350">
        <v>360</v>
      </c>
      <c r="K350">
        <v>1</v>
      </c>
      <c r="L350" t="s">
        <v>646</v>
      </c>
      <c r="M350" t="s">
        <v>633</v>
      </c>
      <c r="N350">
        <f t="shared" si="5"/>
        <v>8333</v>
      </c>
    </row>
    <row r="351" spans="1:14" x14ac:dyDescent="0.3">
      <c r="A351" t="s">
        <v>1125</v>
      </c>
      <c r="B351" t="s">
        <v>629</v>
      </c>
      <c r="C351" t="s">
        <v>635</v>
      </c>
      <c r="D351">
        <v>1</v>
      </c>
      <c r="E351" t="s">
        <v>640</v>
      </c>
      <c r="F351" t="s">
        <v>630</v>
      </c>
      <c r="G351">
        <v>1958</v>
      </c>
      <c r="H351">
        <v>2436</v>
      </c>
      <c r="I351">
        <v>131</v>
      </c>
      <c r="J351">
        <v>360</v>
      </c>
      <c r="K351">
        <v>1</v>
      </c>
      <c r="L351" t="s">
        <v>636</v>
      </c>
      <c r="M351" t="s">
        <v>633</v>
      </c>
      <c r="N351">
        <f t="shared" si="5"/>
        <v>4394</v>
      </c>
    </row>
    <row r="352" spans="1:14" x14ac:dyDescent="0.3">
      <c r="A352" t="s">
        <v>1126</v>
      </c>
      <c r="B352" t="s">
        <v>629</v>
      </c>
      <c r="C352" t="s">
        <v>630</v>
      </c>
      <c r="D352">
        <v>2</v>
      </c>
      <c r="E352" t="s">
        <v>631</v>
      </c>
      <c r="F352" t="s">
        <v>630</v>
      </c>
      <c r="G352">
        <v>3547</v>
      </c>
      <c r="H352">
        <v>0</v>
      </c>
      <c r="I352">
        <v>80</v>
      </c>
      <c r="J352">
        <v>360</v>
      </c>
      <c r="K352">
        <v>0</v>
      </c>
      <c r="L352" t="s">
        <v>636</v>
      </c>
      <c r="M352" t="s">
        <v>637</v>
      </c>
      <c r="N352">
        <f t="shared" si="5"/>
        <v>3547</v>
      </c>
    </row>
    <row r="353" spans="1:14" x14ac:dyDescent="0.3">
      <c r="A353" t="s">
        <v>1128</v>
      </c>
      <c r="B353" t="s">
        <v>629</v>
      </c>
      <c r="C353" t="s">
        <v>635</v>
      </c>
      <c r="D353">
        <v>2</v>
      </c>
      <c r="E353" t="s">
        <v>631</v>
      </c>
      <c r="F353" t="s">
        <v>635</v>
      </c>
      <c r="G353">
        <v>4583</v>
      </c>
      <c r="H353">
        <v>2083</v>
      </c>
      <c r="I353">
        <v>160</v>
      </c>
      <c r="J353">
        <v>360</v>
      </c>
      <c r="K353">
        <v>1</v>
      </c>
      <c r="L353" t="s">
        <v>646</v>
      </c>
      <c r="M353" t="s">
        <v>633</v>
      </c>
      <c r="N353">
        <f t="shared" si="5"/>
        <v>6666</v>
      </c>
    </row>
    <row r="354" spans="1:14" x14ac:dyDescent="0.3">
      <c r="A354" t="s">
        <v>1129</v>
      </c>
      <c r="B354" t="s">
        <v>629</v>
      </c>
      <c r="C354" t="s">
        <v>630</v>
      </c>
      <c r="D354">
        <v>0</v>
      </c>
      <c r="E354" t="s">
        <v>631</v>
      </c>
      <c r="F354" t="s">
        <v>630</v>
      </c>
      <c r="G354">
        <v>2435</v>
      </c>
      <c r="H354">
        <v>0</v>
      </c>
      <c r="I354">
        <v>75</v>
      </c>
      <c r="J354">
        <v>360</v>
      </c>
      <c r="K354">
        <v>1</v>
      </c>
      <c r="L354" t="s">
        <v>632</v>
      </c>
      <c r="M354" t="s">
        <v>637</v>
      </c>
      <c r="N354">
        <f t="shared" si="5"/>
        <v>2435</v>
      </c>
    </row>
    <row r="355" spans="1:14" x14ac:dyDescent="0.3">
      <c r="A355" t="s">
        <v>1132</v>
      </c>
      <c r="B355" t="s">
        <v>629</v>
      </c>
      <c r="C355" t="s">
        <v>630</v>
      </c>
      <c r="D355">
        <v>0</v>
      </c>
      <c r="E355" t="s">
        <v>640</v>
      </c>
      <c r="F355" t="s">
        <v>630</v>
      </c>
      <c r="G355">
        <v>3691</v>
      </c>
      <c r="H355">
        <v>0</v>
      </c>
      <c r="I355">
        <v>110</v>
      </c>
      <c r="J355">
        <v>360</v>
      </c>
      <c r="K355">
        <v>1</v>
      </c>
      <c r="L355" t="s">
        <v>636</v>
      </c>
      <c r="M355" t="s">
        <v>633</v>
      </c>
      <c r="N355">
        <f t="shared" si="5"/>
        <v>3691</v>
      </c>
    </row>
    <row r="356" spans="1:14" x14ac:dyDescent="0.3">
      <c r="A356" t="s">
        <v>1133</v>
      </c>
      <c r="B356" t="s">
        <v>657</v>
      </c>
      <c r="C356" t="s">
        <v>630</v>
      </c>
      <c r="D356">
        <v>0</v>
      </c>
      <c r="E356" t="s">
        <v>640</v>
      </c>
      <c r="F356" t="s">
        <v>635</v>
      </c>
      <c r="G356">
        <v>17263</v>
      </c>
      <c r="H356">
        <v>0</v>
      </c>
      <c r="I356">
        <v>225</v>
      </c>
      <c r="J356">
        <v>360</v>
      </c>
      <c r="K356">
        <v>1</v>
      </c>
      <c r="L356" t="s">
        <v>646</v>
      </c>
      <c r="M356" t="s">
        <v>633</v>
      </c>
      <c r="N356">
        <f t="shared" si="5"/>
        <v>17263</v>
      </c>
    </row>
    <row r="357" spans="1:14" x14ac:dyDescent="0.3">
      <c r="A357" t="s">
        <v>1134</v>
      </c>
      <c r="B357" t="s">
        <v>629</v>
      </c>
      <c r="C357" t="s">
        <v>635</v>
      </c>
      <c r="D357">
        <v>0</v>
      </c>
      <c r="E357" t="s">
        <v>631</v>
      </c>
      <c r="F357" t="s">
        <v>630</v>
      </c>
      <c r="G357">
        <v>3597</v>
      </c>
      <c r="H357">
        <v>2157</v>
      </c>
      <c r="I357">
        <v>119</v>
      </c>
      <c r="J357">
        <v>360</v>
      </c>
      <c r="K357">
        <v>0</v>
      </c>
      <c r="L357" t="s">
        <v>636</v>
      </c>
      <c r="M357" t="s">
        <v>637</v>
      </c>
      <c r="N357">
        <f t="shared" si="5"/>
        <v>5754</v>
      </c>
    </row>
    <row r="358" spans="1:14" x14ac:dyDescent="0.3">
      <c r="A358" t="s">
        <v>1135</v>
      </c>
      <c r="B358" t="s">
        <v>657</v>
      </c>
      <c r="C358" t="s">
        <v>635</v>
      </c>
      <c r="D358">
        <v>1</v>
      </c>
      <c r="E358" t="s">
        <v>631</v>
      </c>
      <c r="F358" t="s">
        <v>630</v>
      </c>
      <c r="G358">
        <v>3326</v>
      </c>
      <c r="H358">
        <v>913</v>
      </c>
      <c r="I358">
        <v>105</v>
      </c>
      <c r="J358">
        <v>84</v>
      </c>
      <c r="K358">
        <v>1</v>
      </c>
      <c r="L358" t="s">
        <v>646</v>
      </c>
      <c r="M358" t="s">
        <v>633</v>
      </c>
      <c r="N358">
        <f t="shared" si="5"/>
        <v>4239</v>
      </c>
    </row>
    <row r="359" spans="1:14" x14ac:dyDescent="0.3">
      <c r="A359" t="s">
        <v>1136</v>
      </c>
      <c r="B359" t="s">
        <v>629</v>
      </c>
      <c r="C359" t="s">
        <v>635</v>
      </c>
      <c r="D359">
        <v>0</v>
      </c>
      <c r="E359" t="s">
        <v>640</v>
      </c>
      <c r="F359" t="s">
        <v>630</v>
      </c>
      <c r="G359">
        <v>2600</v>
      </c>
      <c r="H359">
        <v>1700</v>
      </c>
      <c r="I359">
        <v>107</v>
      </c>
      <c r="J359">
        <v>360</v>
      </c>
      <c r="K359">
        <v>1</v>
      </c>
      <c r="L359" t="s">
        <v>636</v>
      </c>
      <c r="M359" t="s">
        <v>633</v>
      </c>
      <c r="N359">
        <f t="shared" si="5"/>
        <v>4300</v>
      </c>
    </row>
    <row r="360" spans="1:14" x14ac:dyDescent="0.3">
      <c r="A360" t="s">
        <v>1138</v>
      </c>
      <c r="B360" t="s">
        <v>629</v>
      </c>
      <c r="C360" t="s">
        <v>635</v>
      </c>
      <c r="D360">
        <v>1</v>
      </c>
      <c r="E360" t="s">
        <v>631</v>
      </c>
      <c r="F360" t="s">
        <v>635</v>
      </c>
      <c r="G360">
        <v>2895</v>
      </c>
      <c r="H360">
        <v>0</v>
      </c>
      <c r="I360">
        <v>95</v>
      </c>
      <c r="J360">
        <v>360</v>
      </c>
      <c r="K360">
        <v>1</v>
      </c>
      <c r="L360" t="s">
        <v>646</v>
      </c>
      <c r="M360" t="s">
        <v>633</v>
      </c>
      <c r="N360">
        <f t="shared" si="5"/>
        <v>2895</v>
      </c>
    </row>
    <row r="361" spans="1:14" x14ac:dyDescent="0.3">
      <c r="A361" t="s">
        <v>1139</v>
      </c>
      <c r="B361" t="s">
        <v>629</v>
      </c>
      <c r="C361" t="s">
        <v>630</v>
      </c>
      <c r="D361">
        <v>0</v>
      </c>
      <c r="E361" t="s">
        <v>631</v>
      </c>
      <c r="F361" t="s">
        <v>630</v>
      </c>
      <c r="G361">
        <v>6283</v>
      </c>
      <c r="H361">
        <v>4416</v>
      </c>
      <c r="I361">
        <v>209</v>
      </c>
      <c r="J361">
        <v>360</v>
      </c>
      <c r="K361">
        <v>0</v>
      </c>
      <c r="L361" t="s">
        <v>636</v>
      </c>
      <c r="M361" t="s">
        <v>637</v>
      </c>
      <c r="N361">
        <f t="shared" si="5"/>
        <v>10699</v>
      </c>
    </row>
    <row r="362" spans="1:14" x14ac:dyDescent="0.3">
      <c r="A362" t="s">
        <v>1140</v>
      </c>
      <c r="B362" t="s">
        <v>657</v>
      </c>
      <c r="C362" t="s">
        <v>630</v>
      </c>
      <c r="D362">
        <v>0</v>
      </c>
      <c r="E362" t="s">
        <v>631</v>
      </c>
      <c r="F362" t="s">
        <v>630</v>
      </c>
      <c r="G362">
        <v>645</v>
      </c>
      <c r="H362">
        <v>3683</v>
      </c>
      <c r="I362">
        <v>113</v>
      </c>
      <c r="J362">
        <v>480</v>
      </c>
      <c r="K362">
        <v>1</v>
      </c>
      <c r="L362" t="s">
        <v>636</v>
      </c>
      <c r="M362" t="s">
        <v>633</v>
      </c>
      <c r="N362">
        <f t="shared" si="5"/>
        <v>4328</v>
      </c>
    </row>
    <row r="363" spans="1:14" x14ac:dyDescent="0.3">
      <c r="A363" t="s">
        <v>1141</v>
      </c>
      <c r="B363" t="s">
        <v>657</v>
      </c>
      <c r="C363" t="s">
        <v>630</v>
      </c>
      <c r="D363">
        <v>0</v>
      </c>
      <c r="E363" t="s">
        <v>631</v>
      </c>
      <c r="F363" t="s">
        <v>630</v>
      </c>
      <c r="G363">
        <v>3159</v>
      </c>
      <c r="H363">
        <v>0</v>
      </c>
      <c r="I363">
        <v>100</v>
      </c>
      <c r="J363">
        <v>360</v>
      </c>
      <c r="K363">
        <v>1</v>
      </c>
      <c r="L363" t="s">
        <v>646</v>
      </c>
      <c r="M363" t="s">
        <v>633</v>
      </c>
      <c r="N363">
        <f t="shared" si="5"/>
        <v>3159</v>
      </c>
    </row>
    <row r="364" spans="1:14" x14ac:dyDescent="0.3">
      <c r="A364" t="s">
        <v>1142</v>
      </c>
      <c r="B364" t="s">
        <v>629</v>
      </c>
      <c r="C364" t="s">
        <v>635</v>
      </c>
      <c r="D364">
        <v>2</v>
      </c>
      <c r="E364" t="s">
        <v>631</v>
      </c>
      <c r="F364" t="s">
        <v>630</v>
      </c>
      <c r="G364">
        <v>4865</v>
      </c>
      <c r="H364">
        <v>5624</v>
      </c>
      <c r="I364">
        <v>208</v>
      </c>
      <c r="J364">
        <v>360</v>
      </c>
      <c r="K364">
        <v>1</v>
      </c>
      <c r="L364" t="s">
        <v>646</v>
      </c>
      <c r="M364" t="s">
        <v>633</v>
      </c>
      <c r="N364">
        <f t="shared" si="5"/>
        <v>10489</v>
      </c>
    </row>
    <row r="365" spans="1:14" x14ac:dyDescent="0.3">
      <c r="A365" t="s">
        <v>1144</v>
      </c>
      <c r="B365" t="s">
        <v>629</v>
      </c>
      <c r="C365" t="s">
        <v>635</v>
      </c>
      <c r="D365">
        <v>0</v>
      </c>
      <c r="E365" t="s">
        <v>640</v>
      </c>
      <c r="F365" t="s">
        <v>630</v>
      </c>
      <c r="G365">
        <v>3814</v>
      </c>
      <c r="H365">
        <v>1483</v>
      </c>
      <c r="I365">
        <v>124</v>
      </c>
      <c r="J365">
        <v>300</v>
      </c>
      <c r="K365">
        <v>1</v>
      </c>
      <c r="L365" t="s">
        <v>646</v>
      </c>
      <c r="M365" t="s">
        <v>633</v>
      </c>
      <c r="N365">
        <f t="shared" si="5"/>
        <v>5297</v>
      </c>
    </row>
    <row r="366" spans="1:14" x14ac:dyDescent="0.3">
      <c r="A366" t="s">
        <v>1145</v>
      </c>
      <c r="B366" t="s">
        <v>629</v>
      </c>
      <c r="C366" t="s">
        <v>635</v>
      </c>
      <c r="D366">
        <v>2</v>
      </c>
      <c r="E366" t="s">
        <v>631</v>
      </c>
      <c r="F366" t="s">
        <v>630</v>
      </c>
      <c r="G366">
        <v>3510</v>
      </c>
      <c r="H366">
        <v>4416</v>
      </c>
      <c r="I366">
        <v>243</v>
      </c>
      <c r="J366">
        <v>360</v>
      </c>
      <c r="K366">
        <v>1</v>
      </c>
      <c r="L366" t="s">
        <v>636</v>
      </c>
      <c r="M366" t="s">
        <v>633</v>
      </c>
      <c r="N366">
        <f t="shared" si="5"/>
        <v>7926</v>
      </c>
    </row>
    <row r="367" spans="1:14" x14ac:dyDescent="0.3">
      <c r="A367" t="s">
        <v>1148</v>
      </c>
      <c r="B367" t="s">
        <v>629</v>
      </c>
      <c r="C367" t="s">
        <v>635</v>
      </c>
      <c r="D367">
        <v>0</v>
      </c>
      <c r="E367" t="s">
        <v>631</v>
      </c>
      <c r="F367" t="s">
        <v>635</v>
      </c>
      <c r="G367">
        <v>2479</v>
      </c>
      <c r="H367">
        <v>3013</v>
      </c>
      <c r="I367">
        <v>188</v>
      </c>
      <c r="J367">
        <v>360</v>
      </c>
      <c r="K367">
        <v>1</v>
      </c>
      <c r="L367" t="s">
        <v>632</v>
      </c>
      <c r="M367" t="s">
        <v>633</v>
      </c>
      <c r="N367">
        <f t="shared" si="5"/>
        <v>5492</v>
      </c>
    </row>
    <row r="368" spans="1:14" x14ac:dyDescent="0.3">
      <c r="A368" t="s">
        <v>1149</v>
      </c>
      <c r="B368" t="s">
        <v>657</v>
      </c>
      <c r="C368" t="s">
        <v>630</v>
      </c>
      <c r="D368">
        <v>1</v>
      </c>
      <c r="E368" t="s">
        <v>631</v>
      </c>
      <c r="F368" t="s">
        <v>630</v>
      </c>
      <c r="G368">
        <v>13262</v>
      </c>
      <c r="H368">
        <v>0</v>
      </c>
      <c r="I368">
        <v>40</v>
      </c>
      <c r="J368">
        <v>360</v>
      </c>
      <c r="K368">
        <v>1</v>
      </c>
      <c r="L368" t="s">
        <v>632</v>
      </c>
      <c r="M368" t="s">
        <v>633</v>
      </c>
      <c r="N368">
        <f t="shared" si="5"/>
        <v>13262</v>
      </c>
    </row>
    <row r="369" spans="1:14" x14ac:dyDescent="0.3">
      <c r="A369" t="s">
        <v>1150</v>
      </c>
      <c r="B369" t="s">
        <v>629</v>
      </c>
      <c r="C369" t="s">
        <v>630</v>
      </c>
      <c r="D369">
        <v>0</v>
      </c>
      <c r="E369" t="s">
        <v>640</v>
      </c>
      <c r="F369" t="s">
        <v>630</v>
      </c>
      <c r="G369">
        <v>3598</v>
      </c>
      <c r="H369">
        <v>1287</v>
      </c>
      <c r="I369">
        <v>100</v>
      </c>
      <c r="J369">
        <v>360</v>
      </c>
      <c r="K369">
        <v>1</v>
      </c>
      <c r="L369" t="s">
        <v>636</v>
      </c>
      <c r="M369" t="s">
        <v>637</v>
      </c>
      <c r="N369">
        <f t="shared" si="5"/>
        <v>4885</v>
      </c>
    </row>
    <row r="370" spans="1:14" x14ac:dyDescent="0.3">
      <c r="A370" t="s">
        <v>1151</v>
      </c>
      <c r="B370" t="s">
        <v>629</v>
      </c>
      <c r="C370" t="s">
        <v>635</v>
      </c>
      <c r="D370">
        <v>1</v>
      </c>
      <c r="E370" t="s">
        <v>631</v>
      </c>
      <c r="F370" t="s">
        <v>630</v>
      </c>
      <c r="G370">
        <v>6065</v>
      </c>
      <c r="H370">
        <v>2004</v>
      </c>
      <c r="I370">
        <v>250</v>
      </c>
      <c r="J370">
        <v>360</v>
      </c>
      <c r="K370">
        <v>1</v>
      </c>
      <c r="L370" t="s">
        <v>646</v>
      </c>
      <c r="M370" t="s">
        <v>633</v>
      </c>
      <c r="N370">
        <f t="shared" si="5"/>
        <v>8069</v>
      </c>
    </row>
    <row r="371" spans="1:14" x14ac:dyDescent="0.3">
      <c r="A371" t="s">
        <v>1152</v>
      </c>
      <c r="B371" t="s">
        <v>629</v>
      </c>
      <c r="C371" t="s">
        <v>635</v>
      </c>
      <c r="D371">
        <v>2</v>
      </c>
      <c r="E371" t="s">
        <v>631</v>
      </c>
      <c r="F371" t="s">
        <v>630</v>
      </c>
      <c r="G371">
        <v>3283</v>
      </c>
      <c r="H371">
        <v>2035</v>
      </c>
      <c r="I371">
        <v>148</v>
      </c>
      <c r="J371">
        <v>360</v>
      </c>
      <c r="K371">
        <v>1</v>
      </c>
      <c r="L371" t="s">
        <v>632</v>
      </c>
      <c r="M371" t="s">
        <v>633</v>
      </c>
      <c r="N371">
        <f t="shared" si="5"/>
        <v>5318</v>
      </c>
    </row>
    <row r="372" spans="1:14" x14ac:dyDescent="0.3">
      <c r="A372" t="s">
        <v>1153</v>
      </c>
      <c r="B372" t="s">
        <v>629</v>
      </c>
      <c r="C372" t="s">
        <v>635</v>
      </c>
      <c r="D372">
        <v>0</v>
      </c>
      <c r="E372" t="s">
        <v>631</v>
      </c>
      <c r="F372" t="s">
        <v>630</v>
      </c>
      <c r="G372">
        <v>2130</v>
      </c>
      <c r="H372">
        <v>6666</v>
      </c>
      <c r="I372">
        <v>70</v>
      </c>
      <c r="J372">
        <v>180</v>
      </c>
      <c r="K372">
        <v>1</v>
      </c>
      <c r="L372" t="s">
        <v>646</v>
      </c>
      <c r="M372" t="s">
        <v>637</v>
      </c>
      <c r="N372">
        <f t="shared" si="5"/>
        <v>8796</v>
      </c>
    </row>
    <row r="373" spans="1:14" x14ac:dyDescent="0.3">
      <c r="A373" t="s">
        <v>1155</v>
      </c>
      <c r="B373" t="s">
        <v>629</v>
      </c>
      <c r="C373" t="s">
        <v>635</v>
      </c>
      <c r="D373" t="s">
        <v>645</v>
      </c>
      <c r="E373" t="s">
        <v>631</v>
      </c>
      <c r="F373" t="s">
        <v>630</v>
      </c>
      <c r="G373">
        <v>3466</v>
      </c>
      <c r="H373">
        <v>3428</v>
      </c>
      <c r="I373">
        <v>150</v>
      </c>
      <c r="J373">
        <v>360</v>
      </c>
      <c r="K373">
        <v>1</v>
      </c>
      <c r="L373" t="s">
        <v>636</v>
      </c>
      <c r="M373" t="s">
        <v>633</v>
      </c>
      <c r="N373">
        <f t="shared" si="5"/>
        <v>6894</v>
      </c>
    </row>
    <row r="374" spans="1:14" x14ac:dyDescent="0.3">
      <c r="A374" t="s">
        <v>1156</v>
      </c>
      <c r="B374" t="s">
        <v>657</v>
      </c>
      <c r="C374" t="s">
        <v>635</v>
      </c>
      <c r="D374">
        <v>2</v>
      </c>
      <c r="E374" t="s">
        <v>631</v>
      </c>
      <c r="F374" t="s">
        <v>630</v>
      </c>
      <c r="G374">
        <v>2031</v>
      </c>
      <c r="H374">
        <v>1632</v>
      </c>
      <c r="I374">
        <v>113</v>
      </c>
      <c r="J374">
        <v>480</v>
      </c>
      <c r="K374">
        <v>1</v>
      </c>
      <c r="L374" t="s">
        <v>646</v>
      </c>
      <c r="M374" t="s">
        <v>633</v>
      </c>
      <c r="N374">
        <f t="shared" si="5"/>
        <v>3663</v>
      </c>
    </row>
    <row r="375" spans="1:14" x14ac:dyDescent="0.3">
      <c r="A375" t="s">
        <v>1158</v>
      </c>
      <c r="B375" t="s">
        <v>629</v>
      </c>
      <c r="C375" t="s">
        <v>630</v>
      </c>
      <c r="D375">
        <v>0</v>
      </c>
      <c r="E375" t="s">
        <v>631</v>
      </c>
      <c r="F375" t="s">
        <v>630</v>
      </c>
      <c r="G375">
        <v>4683</v>
      </c>
      <c r="H375">
        <v>1915</v>
      </c>
      <c r="I375">
        <v>185</v>
      </c>
      <c r="J375">
        <v>360</v>
      </c>
      <c r="K375">
        <v>1</v>
      </c>
      <c r="L375" t="s">
        <v>646</v>
      </c>
      <c r="M375" t="s">
        <v>637</v>
      </c>
      <c r="N375">
        <f t="shared" si="5"/>
        <v>6598</v>
      </c>
    </row>
    <row r="376" spans="1:14" x14ac:dyDescent="0.3">
      <c r="A376" t="s">
        <v>1159</v>
      </c>
      <c r="B376" t="s">
        <v>657</v>
      </c>
      <c r="C376" t="s">
        <v>630</v>
      </c>
      <c r="D376">
        <v>0</v>
      </c>
      <c r="E376" t="s">
        <v>640</v>
      </c>
      <c r="F376" t="s">
        <v>630</v>
      </c>
      <c r="G376">
        <v>3400</v>
      </c>
      <c r="H376">
        <v>0</v>
      </c>
      <c r="I376">
        <v>95</v>
      </c>
      <c r="J376">
        <v>360</v>
      </c>
      <c r="K376">
        <v>1</v>
      </c>
      <c r="L376" t="s">
        <v>636</v>
      </c>
      <c r="M376" t="s">
        <v>637</v>
      </c>
      <c r="N376">
        <f t="shared" si="5"/>
        <v>3400</v>
      </c>
    </row>
    <row r="377" spans="1:14" x14ac:dyDescent="0.3">
      <c r="A377" t="s">
        <v>1160</v>
      </c>
      <c r="B377" t="s">
        <v>629</v>
      </c>
      <c r="C377" t="s">
        <v>635</v>
      </c>
      <c r="D377">
        <v>2</v>
      </c>
      <c r="E377" t="s">
        <v>640</v>
      </c>
      <c r="F377" t="s">
        <v>630</v>
      </c>
      <c r="G377">
        <v>2192</v>
      </c>
      <c r="H377">
        <v>1742</v>
      </c>
      <c r="I377">
        <v>45</v>
      </c>
      <c r="J377">
        <v>360</v>
      </c>
      <c r="K377">
        <v>1</v>
      </c>
      <c r="L377" t="s">
        <v>646</v>
      </c>
      <c r="M377" t="s">
        <v>633</v>
      </c>
      <c r="N377">
        <f t="shared" si="5"/>
        <v>3934</v>
      </c>
    </row>
    <row r="378" spans="1:14" x14ac:dyDescent="0.3">
      <c r="A378" t="s">
        <v>1161</v>
      </c>
      <c r="B378" t="s">
        <v>629</v>
      </c>
      <c r="C378" t="s">
        <v>630</v>
      </c>
      <c r="D378">
        <v>0</v>
      </c>
      <c r="E378" t="s">
        <v>631</v>
      </c>
      <c r="F378" t="s">
        <v>630</v>
      </c>
      <c r="G378">
        <v>2500</v>
      </c>
      <c r="H378">
        <v>0</v>
      </c>
      <c r="I378">
        <v>55</v>
      </c>
      <c r="J378">
        <v>360</v>
      </c>
      <c r="K378">
        <v>1</v>
      </c>
      <c r="L378" t="s">
        <v>646</v>
      </c>
      <c r="M378" t="s">
        <v>633</v>
      </c>
      <c r="N378">
        <f t="shared" si="5"/>
        <v>2500</v>
      </c>
    </row>
    <row r="379" spans="1:14" x14ac:dyDescent="0.3">
      <c r="A379" t="s">
        <v>1162</v>
      </c>
      <c r="B379" t="s">
        <v>629</v>
      </c>
      <c r="C379" t="s">
        <v>635</v>
      </c>
      <c r="D379" t="s">
        <v>645</v>
      </c>
      <c r="E379" t="s">
        <v>631</v>
      </c>
      <c r="F379" t="s">
        <v>635</v>
      </c>
      <c r="G379">
        <v>5677</v>
      </c>
      <c r="H379">
        <v>1424</v>
      </c>
      <c r="I379">
        <v>100</v>
      </c>
      <c r="J379">
        <v>360</v>
      </c>
      <c r="K379">
        <v>1</v>
      </c>
      <c r="L379" t="s">
        <v>636</v>
      </c>
      <c r="M379" t="s">
        <v>633</v>
      </c>
      <c r="N379">
        <f t="shared" si="5"/>
        <v>7101</v>
      </c>
    </row>
    <row r="380" spans="1:14" x14ac:dyDescent="0.3">
      <c r="A380" t="s">
        <v>1166</v>
      </c>
      <c r="B380" t="s">
        <v>629</v>
      </c>
      <c r="C380" t="s">
        <v>635</v>
      </c>
      <c r="D380">
        <v>0</v>
      </c>
      <c r="E380" t="s">
        <v>631</v>
      </c>
      <c r="F380" t="s">
        <v>630</v>
      </c>
      <c r="G380">
        <v>3775</v>
      </c>
      <c r="H380">
        <v>0</v>
      </c>
      <c r="I380">
        <v>110</v>
      </c>
      <c r="J380">
        <v>360</v>
      </c>
      <c r="K380">
        <v>1</v>
      </c>
      <c r="L380" t="s">
        <v>646</v>
      </c>
      <c r="M380" t="s">
        <v>633</v>
      </c>
      <c r="N380">
        <f t="shared" si="5"/>
        <v>3775</v>
      </c>
    </row>
    <row r="381" spans="1:14" x14ac:dyDescent="0.3">
      <c r="A381" t="s">
        <v>1167</v>
      </c>
      <c r="B381" t="s">
        <v>629</v>
      </c>
      <c r="C381" t="s">
        <v>635</v>
      </c>
      <c r="D381">
        <v>1</v>
      </c>
      <c r="E381" t="s">
        <v>640</v>
      </c>
      <c r="F381" t="s">
        <v>630</v>
      </c>
      <c r="G381">
        <v>5285</v>
      </c>
      <c r="H381">
        <v>1430</v>
      </c>
      <c r="I381">
        <v>161</v>
      </c>
      <c r="J381">
        <v>360</v>
      </c>
      <c r="K381">
        <v>0</v>
      </c>
      <c r="L381" t="s">
        <v>646</v>
      </c>
      <c r="M381" t="s">
        <v>633</v>
      </c>
      <c r="N381">
        <f t="shared" si="5"/>
        <v>6715</v>
      </c>
    </row>
    <row r="382" spans="1:14" x14ac:dyDescent="0.3">
      <c r="A382" t="s">
        <v>1168</v>
      </c>
      <c r="B382" t="s">
        <v>629</v>
      </c>
      <c r="C382" t="s">
        <v>630</v>
      </c>
      <c r="D382">
        <v>1</v>
      </c>
      <c r="E382" t="s">
        <v>640</v>
      </c>
      <c r="F382" t="s">
        <v>630</v>
      </c>
      <c r="G382">
        <v>2679</v>
      </c>
      <c r="H382">
        <v>1302</v>
      </c>
      <c r="I382">
        <v>94</v>
      </c>
      <c r="J382">
        <v>360</v>
      </c>
      <c r="K382">
        <v>1</v>
      </c>
      <c r="L382" t="s">
        <v>646</v>
      </c>
      <c r="M382" t="s">
        <v>633</v>
      </c>
      <c r="N382">
        <f t="shared" si="5"/>
        <v>3981</v>
      </c>
    </row>
    <row r="383" spans="1:14" x14ac:dyDescent="0.3">
      <c r="A383" t="s">
        <v>1169</v>
      </c>
      <c r="B383" t="s">
        <v>629</v>
      </c>
      <c r="C383" t="s">
        <v>630</v>
      </c>
      <c r="D383">
        <v>0</v>
      </c>
      <c r="E383" t="s">
        <v>640</v>
      </c>
      <c r="F383" t="s">
        <v>630</v>
      </c>
      <c r="G383">
        <v>6783</v>
      </c>
      <c r="H383">
        <v>0</v>
      </c>
      <c r="I383">
        <v>130</v>
      </c>
      <c r="J383">
        <v>360</v>
      </c>
      <c r="K383">
        <v>1</v>
      </c>
      <c r="L383" t="s">
        <v>646</v>
      </c>
      <c r="M383" t="s">
        <v>633</v>
      </c>
      <c r="N383">
        <f t="shared" si="5"/>
        <v>6783</v>
      </c>
    </row>
    <row r="384" spans="1:14" x14ac:dyDescent="0.3">
      <c r="A384" t="s">
        <v>1171</v>
      </c>
      <c r="B384" t="s">
        <v>629</v>
      </c>
      <c r="C384" t="s">
        <v>635</v>
      </c>
      <c r="D384" t="s">
        <v>645</v>
      </c>
      <c r="E384" t="s">
        <v>631</v>
      </c>
      <c r="F384" t="s">
        <v>630</v>
      </c>
      <c r="G384">
        <v>4281</v>
      </c>
      <c r="H384">
        <v>0</v>
      </c>
      <c r="I384">
        <v>100</v>
      </c>
      <c r="J384">
        <v>360</v>
      </c>
      <c r="K384">
        <v>1</v>
      </c>
      <c r="L384" t="s">
        <v>632</v>
      </c>
      <c r="M384" t="s">
        <v>633</v>
      </c>
      <c r="N384">
        <f t="shared" si="5"/>
        <v>4281</v>
      </c>
    </row>
    <row r="385" spans="1:14" x14ac:dyDescent="0.3">
      <c r="A385" t="s">
        <v>1172</v>
      </c>
      <c r="B385" t="s">
        <v>629</v>
      </c>
      <c r="C385" t="s">
        <v>630</v>
      </c>
      <c r="D385">
        <v>2</v>
      </c>
      <c r="E385" t="s">
        <v>631</v>
      </c>
      <c r="F385" t="s">
        <v>630</v>
      </c>
      <c r="G385">
        <v>3588</v>
      </c>
      <c r="H385">
        <v>0</v>
      </c>
      <c r="I385">
        <v>110</v>
      </c>
      <c r="J385">
        <v>360</v>
      </c>
      <c r="K385">
        <v>0</v>
      </c>
      <c r="L385" t="s">
        <v>636</v>
      </c>
      <c r="M385" t="s">
        <v>637</v>
      </c>
      <c r="N385">
        <f t="shared" si="5"/>
        <v>3588</v>
      </c>
    </row>
    <row r="386" spans="1:14" x14ac:dyDescent="0.3">
      <c r="A386" t="s">
        <v>1174</v>
      </c>
      <c r="B386" t="s">
        <v>657</v>
      </c>
      <c r="C386" t="s">
        <v>630</v>
      </c>
      <c r="D386">
        <v>0</v>
      </c>
      <c r="E386" t="s">
        <v>640</v>
      </c>
      <c r="F386" t="s">
        <v>635</v>
      </c>
      <c r="G386">
        <v>18165</v>
      </c>
      <c r="H386">
        <v>0</v>
      </c>
      <c r="I386">
        <v>125</v>
      </c>
      <c r="J386">
        <v>360</v>
      </c>
      <c r="K386">
        <v>1</v>
      </c>
      <c r="L386" t="s">
        <v>632</v>
      </c>
      <c r="M386" t="s">
        <v>633</v>
      </c>
      <c r="N386">
        <f t="shared" si="5"/>
        <v>18165</v>
      </c>
    </row>
    <row r="387" spans="1:14" x14ac:dyDescent="0.3">
      <c r="A387" t="s">
        <v>1177</v>
      </c>
      <c r="B387" t="s">
        <v>629</v>
      </c>
      <c r="C387" t="s">
        <v>630</v>
      </c>
      <c r="D387">
        <v>2</v>
      </c>
      <c r="E387" t="s">
        <v>631</v>
      </c>
      <c r="F387" t="s">
        <v>630</v>
      </c>
      <c r="G387">
        <v>3617</v>
      </c>
      <c r="H387">
        <v>0</v>
      </c>
      <c r="I387">
        <v>107</v>
      </c>
      <c r="J387">
        <v>360</v>
      </c>
      <c r="K387">
        <v>1</v>
      </c>
      <c r="L387" t="s">
        <v>646</v>
      </c>
      <c r="M387" t="s">
        <v>633</v>
      </c>
      <c r="N387">
        <f t="shared" ref="N387:N445" si="6">G387+H387</f>
        <v>3617</v>
      </c>
    </row>
    <row r="388" spans="1:14" x14ac:dyDescent="0.3">
      <c r="A388" t="s">
        <v>1178</v>
      </c>
      <c r="B388" t="s">
        <v>629</v>
      </c>
      <c r="C388" t="s">
        <v>635</v>
      </c>
      <c r="D388">
        <v>0</v>
      </c>
      <c r="E388" t="s">
        <v>640</v>
      </c>
      <c r="F388" t="s">
        <v>630</v>
      </c>
      <c r="G388">
        <v>2917</v>
      </c>
      <c r="H388">
        <v>536</v>
      </c>
      <c r="I388">
        <v>66</v>
      </c>
      <c r="J388">
        <v>360</v>
      </c>
      <c r="K388">
        <v>1</v>
      </c>
      <c r="L388" t="s">
        <v>636</v>
      </c>
      <c r="M388" t="s">
        <v>637</v>
      </c>
      <c r="N388">
        <f t="shared" si="6"/>
        <v>3453</v>
      </c>
    </row>
    <row r="389" spans="1:14" x14ac:dyDescent="0.3">
      <c r="A389" t="s">
        <v>1179</v>
      </c>
      <c r="B389" t="s">
        <v>629</v>
      </c>
      <c r="C389" t="s">
        <v>635</v>
      </c>
      <c r="D389" t="s">
        <v>645</v>
      </c>
      <c r="E389" t="s">
        <v>631</v>
      </c>
      <c r="F389" t="s">
        <v>630</v>
      </c>
      <c r="G389">
        <v>6417</v>
      </c>
      <c r="H389">
        <v>0</v>
      </c>
      <c r="I389">
        <v>157</v>
      </c>
      <c r="J389">
        <v>180</v>
      </c>
      <c r="K389">
        <v>1</v>
      </c>
      <c r="L389" t="s">
        <v>636</v>
      </c>
      <c r="M389" t="s">
        <v>633</v>
      </c>
      <c r="N389">
        <f t="shared" si="6"/>
        <v>6417</v>
      </c>
    </row>
    <row r="390" spans="1:14" x14ac:dyDescent="0.3">
      <c r="A390" t="s">
        <v>1180</v>
      </c>
      <c r="B390" t="s">
        <v>657</v>
      </c>
      <c r="C390" t="s">
        <v>635</v>
      </c>
      <c r="D390">
        <v>1</v>
      </c>
      <c r="E390" t="s">
        <v>631</v>
      </c>
      <c r="F390" t="s">
        <v>630</v>
      </c>
      <c r="G390">
        <v>4608</v>
      </c>
      <c r="H390">
        <v>2845</v>
      </c>
      <c r="I390">
        <v>140</v>
      </c>
      <c r="J390">
        <v>180</v>
      </c>
      <c r="K390">
        <v>1</v>
      </c>
      <c r="L390" t="s">
        <v>646</v>
      </c>
      <c r="M390" t="s">
        <v>633</v>
      </c>
      <c r="N390">
        <f t="shared" si="6"/>
        <v>7453</v>
      </c>
    </row>
    <row r="391" spans="1:14" x14ac:dyDescent="0.3">
      <c r="A391" t="s">
        <v>1181</v>
      </c>
      <c r="B391" t="s">
        <v>657</v>
      </c>
      <c r="C391" t="s">
        <v>630</v>
      </c>
      <c r="D391">
        <v>0</v>
      </c>
      <c r="E391" t="s">
        <v>631</v>
      </c>
      <c r="F391" t="s">
        <v>630</v>
      </c>
      <c r="G391">
        <v>2138</v>
      </c>
      <c r="H391">
        <v>0</v>
      </c>
      <c r="I391">
        <v>99</v>
      </c>
      <c r="J391">
        <v>360</v>
      </c>
      <c r="K391">
        <v>0</v>
      </c>
      <c r="L391" t="s">
        <v>646</v>
      </c>
      <c r="M391" t="s">
        <v>637</v>
      </c>
      <c r="N391">
        <f t="shared" si="6"/>
        <v>2138</v>
      </c>
    </row>
    <row r="392" spans="1:14" x14ac:dyDescent="0.3">
      <c r="A392" t="s">
        <v>1183</v>
      </c>
      <c r="B392" t="s">
        <v>629</v>
      </c>
      <c r="C392" t="s">
        <v>635</v>
      </c>
      <c r="D392">
        <v>1</v>
      </c>
      <c r="E392" t="s">
        <v>640</v>
      </c>
      <c r="F392" t="s">
        <v>630</v>
      </c>
      <c r="G392">
        <v>2239</v>
      </c>
      <c r="H392">
        <v>2524</v>
      </c>
      <c r="I392">
        <v>128</v>
      </c>
      <c r="J392">
        <v>360</v>
      </c>
      <c r="K392">
        <v>1</v>
      </c>
      <c r="L392" t="s">
        <v>632</v>
      </c>
      <c r="M392" t="s">
        <v>633</v>
      </c>
      <c r="N392">
        <f t="shared" si="6"/>
        <v>4763</v>
      </c>
    </row>
    <row r="393" spans="1:14" x14ac:dyDescent="0.3">
      <c r="A393" t="s">
        <v>1185</v>
      </c>
      <c r="B393" t="s">
        <v>629</v>
      </c>
      <c r="C393" t="s">
        <v>635</v>
      </c>
      <c r="D393">
        <v>0</v>
      </c>
      <c r="E393" t="s">
        <v>631</v>
      </c>
      <c r="F393" t="s">
        <v>630</v>
      </c>
      <c r="G393">
        <v>2768</v>
      </c>
      <c r="H393">
        <v>1950</v>
      </c>
      <c r="I393">
        <v>155</v>
      </c>
      <c r="J393">
        <v>360</v>
      </c>
      <c r="K393">
        <v>1</v>
      </c>
      <c r="L393" t="s">
        <v>636</v>
      </c>
      <c r="M393" t="s">
        <v>633</v>
      </c>
      <c r="N393">
        <f t="shared" si="6"/>
        <v>4718</v>
      </c>
    </row>
    <row r="394" spans="1:14" x14ac:dyDescent="0.3">
      <c r="A394" t="s">
        <v>1186</v>
      </c>
      <c r="B394" t="s">
        <v>629</v>
      </c>
      <c r="C394" t="s">
        <v>630</v>
      </c>
      <c r="D394">
        <v>0</v>
      </c>
      <c r="E394" t="s">
        <v>640</v>
      </c>
      <c r="F394" t="s">
        <v>630</v>
      </c>
      <c r="G394">
        <v>3358</v>
      </c>
      <c r="H394">
        <v>0</v>
      </c>
      <c r="I394">
        <v>80</v>
      </c>
      <c r="J394">
        <v>36</v>
      </c>
      <c r="K394">
        <v>1</v>
      </c>
      <c r="L394" t="s">
        <v>646</v>
      </c>
      <c r="M394" t="s">
        <v>637</v>
      </c>
      <c r="N394">
        <f t="shared" si="6"/>
        <v>3358</v>
      </c>
    </row>
    <row r="395" spans="1:14" x14ac:dyDescent="0.3">
      <c r="A395" t="s">
        <v>1187</v>
      </c>
      <c r="B395" t="s">
        <v>629</v>
      </c>
      <c r="C395" t="s">
        <v>630</v>
      </c>
      <c r="D395">
        <v>0</v>
      </c>
      <c r="E395" t="s">
        <v>631</v>
      </c>
      <c r="F395" t="s">
        <v>630</v>
      </c>
      <c r="G395">
        <v>2526</v>
      </c>
      <c r="H395">
        <v>1783</v>
      </c>
      <c r="I395">
        <v>145</v>
      </c>
      <c r="J395">
        <v>360</v>
      </c>
      <c r="K395">
        <v>1</v>
      </c>
      <c r="L395" t="s">
        <v>636</v>
      </c>
      <c r="M395" t="s">
        <v>633</v>
      </c>
      <c r="N395">
        <f t="shared" si="6"/>
        <v>4309</v>
      </c>
    </row>
    <row r="396" spans="1:14" x14ac:dyDescent="0.3">
      <c r="A396" t="s">
        <v>1188</v>
      </c>
      <c r="B396" t="s">
        <v>657</v>
      </c>
      <c r="C396" t="s">
        <v>630</v>
      </c>
      <c r="D396">
        <v>0</v>
      </c>
      <c r="E396" t="s">
        <v>631</v>
      </c>
      <c r="F396" t="s">
        <v>630</v>
      </c>
      <c r="G396">
        <v>5000</v>
      </c>
      <c r="H396">
        <v>0</v>
      </c>
      <c r="I396">
        <v>103</v>
      </c>
      <c r="J396">
        <v>360</v>
      </c>
      <c r="K396">
        <v>0</v>
      </c>
      <c r="L396" t="s">
        <v>646</v>
      </c>
      <c r="M396" t="s">
        <v>637</v>
      </c>
      <c r="N396">
        <f t="shared" si="6"/>
        <v>5000</v>
      </c>
    </row>
    <row r="397" spans="1:14" x14ac:dyDescent="0.3">
      <c r="A397" t="s">
        <v>1189</v>
      </c>
      <c r="B397" t="s">
        <v>629</v>
      </c>
      <c r="C397" t="s">
        <v>635</v>
      </c>
      <c r="D397">
        <v>0</v>
      </c>
      <c r="E397" t="s">
        <v>631</v>
      </c>
      <c r="F397" t="s">
        <v>630</v>
      </c>
      <c r="G397">
        <v>2785</v>
      </c>
      <c r="H397">
        <v>2016</v>
      </c>
      <c r="I397">
        <v>110</v>
      </c>
      <c r="J397">
        <v>360</v>
      </c>
      <c r="K397">
        <v>1</v>
      </c>
      <c r="L397" t="s">
        <v>636</v>
      </c>
      <c r="M397" t="s">
        <v>633</v>
      </c>
      <c r="N397">
        <f t="shared" si="6"/>
        <v>4801</v>
      </c>
    </row>
    <row r="398" spans="1:14" x14ac:dyDescent="0.3">
      <c r="A398" t="s">
        <v>1192</v>
      </c>
      <c r="B398" t="s">
        <v>629</v>
      </c>
      <c r="C398" t="s">
        <v>635</v>
      </c>
      <c r="D398">
        <v>1</v>
      </c>
      <c r="E398" t="s">
        <v>631</v>
      </c>
      <c r="F398" t="s">
        <v>630</v>
      </c>
      <c r="G398">
        <v>3333</v>
      </c>
      <c r="H398">
        <v>3250</v>
      </c>
      <c r="I398">
        <v>158</v>
      </c>
      <c r="J398">
        <v>360</v>
      </c>
      <c r="K398">
        <v>1</v>
      </c>
      <c r="L398" t="s">
        <v>632</v>
      </c>
      <c r="M398" t="s">
        <v>633</v>
      </c>
      <c r="N398">
        <f t="shared" si="6"/>
        <v>6583</v>
      </c>
    </row>
    <row r="399" spans="1:14" x14ac:dyDescent="0.3">
      <c r="A399" t="s">
        <v>1193</v>
      </c>
      <c r="B399" t="s">
        <v>629</v>
      </c>
      <c r="C399" t="s">
        <v>635</v>
      </c>
      <c r="D399">
        <v>0</v>
      </c>
      <c r="E399" t="s">
        <v>640</v>
      </c>
      <c r="F399" t="s">
        <v>630</v>
      </c>
      <c r="G399">
        <v>2454</v>
      </c>
      <c r="H399">
        <v>2333</v>
      </c>
      <c r="I399">
        <v>181</v>
      </c>
      <c r="J399">
        <v>360</v>
      </c>
      <c r="K399">
        <v>0</v>
      </c>
      <c r="L399" t="s">
        <v>632</v>
      </c>
      <c r="M399" t="s">
        <v>637</v>
      </c>
      <c r="N399">
        <f t="shared" si="6"/>
        <v>4787</v>
      </c>
    </row>
    <row r="400" spans="1:14" x14ac:dyDescent="0.3">
      <c r="A400" t="s">
        <v>1194</v>
      </c>
      <c r="B400" t="s">
        <v>629</v>
      </c>
      <c r="C400" t="s">
        <v>635</v>
      </c>
      <c r="D400">
        <v>0</v>
      </c>
      <c r="E400" t="s">
        <v>631</v>
      </c>
      <c r="F400" t="s">
        <v>630</v>
      </c>
      <c r="G400">
        <v>3593</v>
      </c>
      <c r="H400">
        <v>4266</v>
      </c>
      <c r="I400">
        <v>132</v>
      </c>
      <c r="J400">
        <v>180</v>
      </c>
      <c r="K400">
        <v>0</v>
      </c>
      <c r="L400" t="s">
        <v>636</v>
      </c>
      <c r="M400" t="s">
        <v>637</v>
      </c>
      <c r="N400">
        <f t="shared" si="6"/>
        <v>7859</v>
      </c>
    </row>
    <row r="401" spans="1:14" x14ac:dyDescent="0.3">
      <c r="A401" t="s">
        <v>1195</v>
      </c>
      <c r="B401" t="s">
        <v>629</v>
      </c>
      <c r="C401" t="s">
        <v>635</v>
      </c>
      <c r="D401">
        <v>1</v>
      </c>
      <c r="E401" t="s">
        <v>631</v>
      </c>
      <c r="F401" t="s">
        <v>630</v>
      </c>
      <c r="G401">
        <v>5468</v>
      </c>
      <c r="H401">
        <v>1032</v>
      </c>
      <c r="I401">
        <v>26</v>
      </c>
      <c r="J401">
        <v>360</v>
      </c>
      <c r="K401">
        <v>1</v>
      </c>
      <c r="L401" t="s">
        <v>646</v>
      </c>
      <c r="M401" t="s">
        <v>633</v>
      </c>
      <c r="N401">
        <f t="shared" si="6"/>
        <v>6500</v>
      </c>
    </row>
    <row r="402" spans="1:14" x14ac:dyDescent="0.3">
      <c r="A402" t="s">
        <v>1197</v>
      </c>
      <c r="B402" t="s">
        <v>629</v>
      </c>
      <c r="C402" t="s">
        <v>635</v>
      </c>
      <c r="D402" t="s">
        <v>645</v>
      </c>
      <c r="E402" t="s">
        <v>631</v>
      </c>
      <c r="F402" t="s">
        <v>635</v>
      </c>
      <c r="G402">
        <v>10139</v>
      </c>
      <c r="H402">
        <v>0</v>
      </c>
      <c r="I402">
        <v>260</v>
      </c>
      <c r="J402">
        <v>360</v>
      </c>
      <c r="K402">
        <v>1</v>
      </c>
      <c r="L402" t="s">
        <v>646</v>
      </c>
      <c r="M402" t="s">
        <v>633</v>
      </c>
      <c r="N402">
        <f t="shared" si="6"/>
        <v>10139</v>
      </c>
    </row>
    <row r="403" spans="1:14" x14ac:dyDescent="0.3">
      <c r="A403" t="s">
        <v>1198</v>
      </c>
      <c r="B403" t="s">
        <v>629</v>
      </c>
      <c r="C403" t="s">
        <v>635</v>
      </c>
      <c r="D403">
        <v>0</v>
      </c>
      <c r="E403" t="s">
        <v>631</v>
      </c>
      <c r="F403" t="s">
        <v>630</v>
      </c>
      <c r="G403">
        <v>3887</v>
      </c>
      <c r="H403">
        <v>2669</v>
      </c>
      <c r="I403">
        <v>162</v>
      </c>
      <c r="J403">
        <v>360</v>
      </c>
      <c r="K403">
        <v>1</v>
      </c>
      <c r="L403" t="s">
        <v>646</v>
      </c>
      <c r="M403" t="s">
        <v>633</v>
      </c>
      <c r="N403">
        <f t="shared" si="6"/>
        <v>6556</v>
      </c>
    </row>
    <row r="404" spans="1:14" x14ac:dyDescent="0.3">
      <c r="A404" t="s">
        <v>1199</v>
      </c>
      <c r="B404" t="s">
        <v>657</v>
      </c>
      <c r="C404" t="s">
        <v>635</v>
      </c>
      <c r="D404">
        <v>0</v>
      </c>
      <c r="E404" t="s">
        <v>631</v>
      </c>
      <c r="F404" t="s">
        <v>630</v>
      </c>
      <c r="G404">
        <v>4180</v>
      </c>
      <c r="H404">
        <v>2306</v>
      </c>
      <c r="I404">
        <v>182</v>
      </c>
      <c r="J404">
        <v>360</v>
      </c>
      <c r="K404">
        <v>1</v>
      </c>
      <c r="L404" t="s">
        <v>646</v>
      </c>
      <c r="M404" t="s">
        <v>633</v>
      </c>
      <c r="N404">
        <f t="shared" si="6"/>
        <v>6486</v>
      </c>
    </row>
    <row r="405" spans="1:14" x14ac:dyDescent="0.3">
      <c r="A405" t="s">
        <v>1200</v>
      </c>
      <c r="B405" t="s">
        <v>629</v>
      </c>
      <c r="C405" t="s">
        <v>635</v>
      </c>
      <c r="D405">
        <v>2</v>
      </c>
      <c r="E405" t="s">
        <v>640</v>
      </c>
      <c r="F405" t="s">
        <v>630</v>
      </c>
      <c r="G405">
        <v>3675</v>
      </c>
      <c r="H405">
        <v>242</v>
      </c>
      <c r="I405">
        <v>108</v>
      </c>
      <c r="J405">
        <v>360</v>
      </c>
      <c r="K405">
        <v>1</v>
      </c>
      <c r="L405" t="s">
        <v>646</v>
      </c>
      <c r="M405" t="s">
        <v>633</v>
      </c>
      <c r="N405">
        <f t="shared" si="6"/>
        <v>3917</v>
      </c>
    </row>
    <row r="406" spans="1:14" x14ac:dyDescent="0.3">
      <c r="A406" t="s">
        <v>1202</v>
      </c>
      <c r="B406" t="s">
        <v>629</v>
      </c>
      <c r="C406" t="s">
        <v>635</v>
      </c>
      <c r="D406">
        <v>0</v>
      </c>
      <c r="E406" t="s">
        <v>631</v>
      </c>
      <c r="F406" t="s">
        <v>630</v>
      </c>
      <c r="G406">
        <v>5923</v>
      </c>
      <c r="H406">
        <v>2054</v>
      </c>
      <c r="I406">
        <v>211</v>
      </c>
      <c r="J406">
        <v>360</v>
      </c>
      <c r="K406">
        <v>1</v>
      </c>
      <c r="L406" t="s">
        <v>636</v>
      </c>
      <c r="M406" t="s">
        <v>633</v>
      </c>
      <c r="N406">
        <f t="shared" si="6"/>
        <v>7977</v>
      </c>
    </row>
    <row r="407" spans="1:14" x14ac:dyDescent="0.3">
      <c r="A407" t="s">
        <v>1203</v>
      </c>
      <c r="B407" t="s">
        <v>629</v>
      </c>
      <c r="C407" t="s">
        <v>630</v>
      </c>
      <c r="D407">
        <v>0</v>
      </c>
      <c r="E407" t="s">
        <v>640</v>
      </c>
      <c r="F407" t="s">
        <v>635</v>
      </c>
      <c r="G407">
        <v>5800</v>
      </c>
      <c r="H407">
        <v>0</v>
      </c>
      <c r="I407">
        <v>132</v>
      </c>
      <c r="J407">
        <v>360</v>
      </c>
      <c r="K407">
        <v>1</v>
      </c>
      <c r="L407" t="s">
        <v>646</v>
      </c>
      <c r="M407" t="s">
        <v>633</v>
      </c>
      <c r="N407">
        <f t="shared" si="6"/>
        <v>5800</v>
      </c>
    </row>
    <row r="408" spans="1:14" x14ac:dyDescent="0.3">
      <c r="A408" t="s">
        <v>1204</v>
      </c>
      <c r="B408" t="s">
        <v>629</v>
      </c>
      <c r="C408" t="s">
        <v>635</v>
      </c>
      <c r="D408">
        <v>2</v>
      </c>
      <c r="E408" t="s">
        <v>631</v>
      </c>
      <c r="F408" t="s">
        <v>630</v>
      </c>
      <c r="G408">
        <v>8799</v>
      </c>
      <c r="H408">
        <v>0</v>
      </c>
      <c r="I408">
        <v>258</v>
      </c>
      <c r="J408">
        <v>360</v>
      </c>
      <c r="K408">
        <v>0</v>
      </c>
      <c r="L408" t="s">
        <v>632</v>
      </c>
      <c r="M408" t="s">
        <v>637</v>
      </c>
      <c r="N408">
        <f t="shared" si="6"/>
        <v>8799</v>
      </c>
    </row>
    <row r="409" spans="1:14" x14ac:dyDescent="0.3">
      <c r="A409" t="s">
        <v>1206</v>
      </c>
      <c r="B409" t="s">
        <v>629</v>
      </c>
      <c r="C409" t="s">
        <v>630</v>
      </c>
      <c r="D409">
        <v>0</v>
      </c>
      <c r="E409" t="s">
        <v>631</v>
      </c>
      <c r="F409" t="s">
        <v>630</v>
      </c>
      <c r="G409">
        <v>3333</v>
      </c>
      <c r="H409">
        <v>0</v>
      </c>
      <c r="I409">
        <v>70</v>
      </c>
      <c r="J409">
        <v>360</v>
      </c>
      <c r="K409">
        <v>1</v>
      </c>
      <c r="L409" t="s">
        <v>632</v>
      </c>
      <c r="M409" t="s">
        <v>633</v>
      </c>
      <c r="N409">
        <f t="shared" si="6"/>
        <v>3333</v>
      </c>
    </row>
    <row r="410" spans="1:14" x14ac:dyDescent="0.3">
      <c r="A410" t="s">
        <v>1207</v>
      </c>
      <c r="B410" t="s">
        <v>629</v>
      </c>
      <c r="C410" t="s">
        <v>635</v>
      </c>
      <c r="D410" t="s">
        <v>645</v>
      </c>
      <c r="E410" t="s">
        <v>631</v>
      </c>
      <c r="F410" t="s">
        <v>630</v>
      </c>
      <c r="G410">
        <v>3400</v>
      </c>
      <c r="H410">
        <v>2500</v>
      </c>
      <c r="I410">
        <v>123</v>
      </c>
      <c r="J410">
        <v>360</v>
      </c>
      <c r="K410">
        <v>0</v>
      </c>
      <c r="L410" t="s">
        <v>636</v>
      </c>
      <c r="M410" t="s">
        <v>637</v>
      </c>
      <c r="N410">
        <f t="shared" si="6"/>
        <v>5900</v>
      </c>
    </row>
    <row r="411" spans="1:14" x14ac:dyDescent="0.3">
      <c r="A411" t="s">
        <v>1208</v>
      </c>
      <c r="B411" t="s">
        <v>657</v>
      </c>
      <c r="C411" t="s">
        <v>630</v>
      </c>
      <c r="D411">
        <v>0</v>
      </c>
      <c r="E411" t="s">
        <v>631</v>
      </c>
      <c r="F411" t="s">
        <v>630</v>
      </c>
      <c r="G411">
        <v>2378</v>
      </c>
      <c r="H411">
        <v>0</v>
      </c>
      <c r="I411">
        <v>9</v>
      </c>
      <c r="J411">
        <v>360</v>
      </c>
      <c r="K411">
        <v>1</v>
      </c>
      <c r="L411" t="s">
        <v>632</v>
      </c>
      <c r="M411" t="s">
        <v>637</v>
      </c>
      <c r="N411">
        <f t="shared" si="6"/>
        <v>2378</v>
      </c>
    </row>
    <row r="412" spans="1:14" x14ac:dyDescent="0.3">
      <c r="A412" t="s">
        <v>1209</v>
      </c>
      <c r="B412" t="s">
        <v>629</v>
      </c>
      <c r="C412" t="s">
        <v>635</v>
      </c>
      <c r="D412">
        <v>0</v>
      </c>
      <c r="E412" t="s">
        <v>631</v>
      </c>
      <c r="F412" t="s">
        <v>630</v>
      </c>
      <c r="G412">
        <v>3166</v>
      </c>
      <c r="H412">
        <v>2064</v>
      </c>
      <c r="I412">
        <v>104</v>
      </c>
      <c r="J412">
        <v>360</v>
      </c>
      <c r="K412">
        <v>0</v>
      </c>
      <c r="L412" t="s">
        <v>632</v>
      </c>
      <c r="M412" t="s">
        <v>637</v>
      </c>
      <c r="N412">
        <f t="shared" si="6"/>
        <v>5230</v>
      </c>
    </row>
    <row r="413" spans="1:14" x14ac:dyDescent="0.3">
      <c r="A413" t="s">
        <v>1210</v>
      </c>
      <c r="B413" t="s">
        <v>629</v>
      </c>
      <c r="C413" t="s">
        <v>635</v>
      </c>
      <c r="D413">
        <v>1</v>
      </c>
      <c r="E413" t="s">
        <v>631</v>
      </c>
      <c r="F413" t="s">
        <v>630</v>
      </c>
      <c r="G413">
        <v>3417</v>
      </c>
      <c r="H413">
        <v>1750</v>
      </c>
      <c r="I413">
        <v>186</v>
      </c>
      <c r="J413">
        <v>360</v>
      </c>
      <c r="K413">
        <v>1</v>
      </c>
      <c r="L413" t="s">
        <v>632</v>
      </c>
      <c r="M413" t="s">
        <v>633</v>
      </c>
      <c r="N413">
        <f t="shared" si="6"/>
        <v>5167</v>
      </c>
    </row>
    <row r="414" spans="1:14" x14ac:dyDescent="0.3">
      <c r="A414" t="s">
        <v>1212</v>
      </c>
      <c r="B414" t="s">
        <v>629</v>
      </c>
      <c r="C414" t="s">
        <v>635</v>
      </c>
      <c r="D414">
        <v>2</v>
      </c>
      <c r="E414" t="s">
        <v>631</v>
      </c>
      <c r="F414" t="s">
        <v>630</v>
      </c>
      <c r="G414">
        <v>16666</v>
      </c>
      <c r="H414">
        <v>0</v>
      </c>
      <c r="I414">
        <v>275</v>
      </c>
      <c r="J414">
        <v>360</v>
      </c>
      <c r="K414">
        <v>1</v>
      </c>
      <c r="L414" t="s">
        <v>632</v>
      </c>
      <c r="M414" t="s">
        <v>633</v>
      </c>
      <c r="N414">
        <f t="shared" si="6"/>
        <v>16666</v>
      </c>
    </row>
    <row r="415" spans="1:14" x14ac:dyDescent="0.3">
      <c r="A415" t="s">
        <v>1213</v>
      </c>
      <c r="B415" t="s">
        <v>629</v>
      </c>
      <c r="C415" t="s">
        <v>635</v>
      </c>
      <c r="D415">
        <v>2</v>
      </c>
      <c r="E415" t="s">
        <v>640</v>
      </c>
      <c r="F415" t="s">
        <v>630</v>
      </c>
      <c r="G415">
        <v>6125</v>
      </c>
      <c r="H415">
        <v>1625</v>
      </c>
      <c r="I415">
        <v>187</v>
      </c>
      <c r="J415">
        <v>480</v>
      </c>
      <c r="K415">
        <v>1</v>
      </c>
      <c r="L415" t="s">
        <v>646</v>
      </c>
      <c r="M415" t="s">
        <v>637</v>
      </c>
      <c r="N415">
        <f t="shared" si="6"/>
        <v>7750</v>
      </c>
    </row>
    <row r="416" spans="1:14" x14ac:dyDescent="0.3">
      <c r="A416" t="s">
        <v>1214</v>
      </c>
      <c r="B416" t="s">
        <v>629</v>
      </c>
      <c r="C416" t="s">
        <v>635</v>
      </c>
      <c r="D416" t="s">
        <v>645</v>
      </c>
      <c r="E416" t="s">
        <v>631</v>
      </c>
      <c r="F416" t="s">
        <v>630</v>
      </c>
      <c r="G416">
        <v>6406</v>
      </c>
      <c r="H416">
        <v>0</v>
      </c>
      <c r="I416">
        <v>150</v>
      </c>
      <c r="J416">
        <v>360</v>
      </c>
      <c r="K416">
        <v>1</v>
      </c>
      <c r="L416" t="s">
        <v>646</v>
      </c>
      <c r="M416" t="s">
        <v>637</v>
      </c>
      <c r="N416">
        <f t="shared" si="6"/>
        <v>6406</v>
      </c>
    </row>
    <row r="417" spans="1:14" x14ac:dyDescent="0.3">
      <c r="A417" t="s">
        <v>1215</v>
      </c>
      <c r="B417" t="s">
        <v>629</v>
      </c>
      <c r="C417" t="s">
        <v>635</v>
      </c>
      <c r="D417">
        <v>2</v>
      </c>
      <c r="E417" t="s">
        <v>631</v>
      </c>
      <c r="F417" t="s">
        <v>630</v>
      </c>
      <c r="G417">
        <v>3159</v>
      </c>
      <c r="H417">
        <v>461</v>
      </c>
      <c r="I417">
        <v>108</v>
      </c>
      <c r="J417">
        <v>84</v>
      </c>
      <c r="K417">
        <v>1</v>
      </c>
      <c r="L417" t="s">
        <v>632</v>
      </c>
      <c r="M417" t="s">
        <v>633</v>
      </c>
      <c r="N417">
        <f t="shared" si="6"/>
        <v>3620</v>
      </c>
    </row>
    <row r="418" spans="1:14" x14ac:dyDescent="0.3">
      <c r="A418" t="s">
        <v>1217</v>
      </c>
      <c r="B418" t="s">
        <v>629</v>
      </c>
      <c r="C418" t="s">
        <v>630</v>
      </c>
      <c r="D418">
        <v>0</v>
      </c>
      <c r="E418" t="s">
        <v>631</v>
      </c>
      <c r="F418" t="s">
        <v>630</v>
      </c>
      <c r="G418">
        <v>3229</v>
      </c>
      <c r="H418">
        <v>2739</v>
      </c>
      <c r="I418">
        <v>110</v>
      </c>
      <c r="J418">
        <v>360</v>
      </c>
      <c r="K418">
        <v>1</v>
      </c>
      <c r="L418" t="s">
        <v>632</v>
      </c>
      <c r="M418" t="s">
        <v>633</v>
      </c>
      <c r="N418">
        <f t="shared" si="6"/>
        <v>5968</v>
      </c>
    </row>
    <row r="419" spans="1:14" x14ac:dyDescent="0.3">
      <c r="A419" t="s">
        <v>1218</v>
      </c>
      <c r="B419" t="s">
        <v>629</v>
      </c>
      <c r="C419" t="s">
        <v>635</v>
      </c>
      <c r="D419">
        <v>1</v>
      </c>
      <c r="E419" t="s">
        <v>631</v>
      </c>
      <c r="F419" t="s">
        <v>630</v>
      </c>
      <c r="G419">
        <v>1782</v>
      </c>
      <c r="H419">
        <v>2232</v>
      </c>
      <c r="I419">
        <v>107</v>
      </c>
      <c r="J419">
        <v>360</v>
      </c>
      <c r="K419">
        <v>1</v>
      </c>
      <c r="L419" t="s">
        <v>636</v>
      </c>
      <c r="M419" t="s">
        <v>633</v>
      </c>
      <c r="N419">
        <f t="shared" si="6"/>
        <v>4014</v>
      </c>
    </row>
    <row r="420" spans="1:14" x14ac:dyDescent="0.3">
      <c r="A420" t="s">
        <v>1220</v>
      </c>
      <c r="B420" t="s">
        <v>629</v>
      </c>
      <c r="C420" t="s">
        <v>635</v>
      </c>
      <c r="D420">
        <v>2</v>
      </c>
      <c r="E420" t="s">
        <v>631</v>
      </c>
      <c r="F420" t="s">
        <v>630</v>
      </c>
      <c r="G420">
        <v>6540</v>
      </c>
      <c r="H420">
        <v>0</v>
      </c>
      <c r="I420">
        <v>205</v>
      </c>
      <c r="J420">
        <v>360</v>
      </c>
      <c r="K420">
        <v>1</v>
      </c>
      <c r="L420" t="s">
        <v>646</v>
      </c>
      <c r="M420" t="s">
        <v>633</v>
      </c>
      <c r="N420">
        <f t="shared" si="6"/>
        <v>6540</v>
      </c>
    </row>
    <row r="421" spans="1:14" x14ac:dyDescent="0.3">
      <c r="A421" t="s">
        <v>1221</v>
      </c>
      <c r="B421" t="s">
        <v>629</v>
      </c>
      <c r="C421" t="s">
        <v>630</v>
      </c>
      <c r="D421">
        <v>0</v>
      </c>
      <c r="E421" t="s">
        <v>631</v>
      </c>
      <c r="F421" t="s">
        <v>630</v>
      </c>
      <c r="G421">
        <v>1836</v>
      </c>
      <c r="H421">
        <v>33837</v>
      </c>
      <c r="I421">
        <v>90</v>
      </c>
      <c r="J421">
        <v>360</v>
      </c>
      <c r="K421">
        <v>1</v>
      </c>
      <c r="L421" t="s">
        <v>632</v>
      </c>
      <c r="M421" t="s">
        <v>637</v>
      </c>
      <c r="N421">
        <f t="shared" si="6"/>
        <v>35673</v>
      </c>
    </row>
    <row r="422" spans="1:14" x14ac:dyDescent="0.3">
      <c r="A422" t="s">
        <v>1222</v>
      </c>
      <c r="B422" t="s">
        <v>657</v>
      </c>
      <c r="C422" t="s">
        <v>635</v>
      </c>
      <c r="D422">
        <v>0</v>
      </c>
      <c r="E422" t="s">
        <v>631</v>
      </c>
      <c r="F422" t="s">
        <v>630</v>
      </c>
      <c r="G422">
        <v>3166</v>
      </c>
      <c r="H422">
        <v>0</v>
      </c>
      <c r="I422">
        <v>36</v>
      </c>
      <c r="J422">
        <v>360</v>
      </c>
      <c r="K422">
        <v>1</v>
      </c>
      <c r="L422" t="s">
        <v>646</v>
      </c>
      <c r="M422" t="s">
        <v>633</v>
      </c>
      <c r="N422">
        <f t="shared" si="6"/>
        <v>3166</v>
      </c>
    </row>
    <row r="423" spans="1:14" x14ac:dyDescent="0.3">
      <c r="A423" t="s">
        <v>1224</v>
      </c>
      <c r="B423" t="s">
        <v>629</v>
      </c>
      <c r="C423" t="s">
        <v>635</v>
      </c>
      <c r="D423">
        <v>1</v>
      </c>
      <c r="E423" t="s">
        <v>631</v>
      </c>
      <c r="F423" t="s">
        <v>630</v>
      </c>
      <c r="G423">
        <v>2787</v>
      </c>
      <c r="H423">
        <v>1917</v>
      </c>
      <c r="I423">
        <v>146</v>
      </c>
      <c r="J423">
        <v>360</v>
      </c>
      <c r="K423">
        <v>0</v>
      </c>
      <c r="L423" t="s">
        <v>636</v>
      </c>
      <c r="M423" t="s">
        <v>637</v>
      </c>
      <c r="N423">
        <f t="shared" si="6"/>
        <v>4704</v>
      </c>
    </row>
    <row r="424" spans="1:14" x14ac:dyDescent="0.3">
      <c r="A424" t="s">
        <v>1225</v>
      </c>
      <c r="B424" t="s">
        <v>629</v>
      </c>
      <c r="C424" t="s">
        <v>635</v>
      </c>
      <c r="D424">
        <v>1</v>
      </c>
      <c r="E424" t="s">
        <v>631</v>
      </c>
      <c r="F424" t="s">
        <v>630</v>
      </c>
      <c r="G424">
        <v>4283</v>
      </c>
      <c r="H424">
        <v>3000</v>
      </c>
      <c r="I424">
        <v>172</v>
      </c>
      <c r="J424">
        <v>84</v>
      </c>
      <c r="K424">
        <v>1</v>
      </c>
      <c r="L424" t="s">
        <v>636</v>
      </c>
      <c r="M424" t="s">
        <v>637</v>
      </c>
      <c r="N424">
        <f t="shared" si="6"/>
        <v>7283</v>
      </c>
    </row>
    <row r="425" spans="1:14" x14ac:dyDescent="0.3">
      <c r="A425" t="s">
        <v>1226</v>
      </c>
      <c r="B425" t="s">
        <v>629</v>
      </c>
      <c r="C425" t="s">
        <v>635</v>
      </c>
      <c r="D425">
        <v>0</v>
      </c>
      <c r="E425" t="s">
        <v>631</v>
      </c>
      <c r="F425" t="s">
        <v>630</v>
      </c>
      <c r="G425">
        <v>2297</v>
      </c>
      <c r="H425">
        <v>1522</v>
      </c>
      <c r="I425">
        <v>104</v>
      </c>
      <c r="J425">
        <v>360</v>
      </c>
      <c r="K425">
        <v>1</v>
      </c>
      <c r="L425" t="s">
        <v>632</v>
      </c>
      <c r="M425" t="s">
        <v>633</v>
      </c>
      <c r="N425">
        <f t="shared" si="6"/>
        <v>3819</v>
      </c>
    </row>
    <row r="426" spans="1:14" x14ac:dyDescent="0.3">
      <c r="A426" t="s">
        <v>1227</v>
      </c>
      <c r="B426" t="s">
        <v>657</v>
      </c>
      <c r="C426" t="s">
        <v>630</v>
      </c>
      <c r="D426">
        <v>0</v>
      </c>
      <c r="E426" t="s">
        <v>640</v>
      </c>
      <c r="F426" t="s">
        <v>630</v>
      </c>
      <c r="G426">
        <v>2165</v>
      </c>
      <c r="H426">
        <v>0</v>
      </c>
      <c r="I426">
        <v>70</v>
      </c>
      <c r="J426">
        <v>360</v>
      </c>
      <c r="K426">
        <v>1</v>
      </c>
      <c r="L426" t="s">
        <v>646</v>
      </c>
      <c r="M426" t="s">
        <v>633</v>
      </c>
      <c r="N426">
        <f t="shared" si="6"/>
        <v>2165</v>
      </c>
    </row>
    <row r="427" spans="1:14" x14ac:dyDescent="0.3">
      <c r="A427" t="s">
        <v>1229</v>
      </c>
      <c r="B427" t="s">
        <v>629</v>
      </c>
      <c r="C427" t="s">
        <v>635</v>
      </c>
      <c r="D427">
        <v>2</v>
      </c>
      <c r="E427" t="s">
        <v>631</v>
      </c>
      <c r="F427" t="s">
        <v>635</v>
      </c>
      <c r="G427">
        <v>2726</v>
      </c>
      <c r="H427">
        <v>0</v>
      </c>
      <c r="I427">
        <v>106</v>
      </c>
      <c r="J427">
        <v>360</v>
      </c>
      <c r="K427">
        <v>0</v>
      </c>
      <c r="L427" t="s">
        <v>646</v>
      </c>
      <c r="M427" t="s">
        <v>637</v>
      </c>
      <c r="N427">
        <f t="shared" si="6"/>
        <v>2726</v>
      </c>
    </row>
    <row r="428" spans="1:14" x14ac:dyDescent="0.3">
      <c r="A428" t="s">
        <v>1230</v>
      </c>
      <c r="B428" t="s">
        <v>629</v>
      </c>
      <c r="C428" t="s">
        <v>635</v>
      </c>
      <c r="D428">
        <v>0</v>
      </c>
      <c r="E428" t="s">
        <v>631</v>
      </c>
      <c r="F428" t="s">
        <v>630</v>
      </c>
      <c r="G428">
        <v>3000</v>
      </c>
      <c r="H428">
        <v>3416</v>
      </c>
      <c r="I428">
        <v>56</v>
      </c>
      <c r="J428">
        <v>180</v>
      </c>
      <c r="K428">
        <v>1</v>
      </c>
      <c r="L428" t="s">
        <v>646</v>
      </c>
      <c r="M428" t="s">
        <v>633</v>
      </c>
      <c r="N428">
        <f t="shared" si="6"/>
        <v>6416</v>
      </c>
    </row>
    <row r="429" spans="1:14" x14ac:dyDescent="0.3">
      <c r="A429" t="s">
        <v>1231</v>
      </c>
      <c r="B429" t="s">
        <v>629</v>
      </c>
      <c r="C429" t="s">
        <v>635</v>
      </c>
      <c r="D429">
        <v>2</v>
      </c>
      <c r="E429" t="s">
        <v>631</v>
      </c>
      <c r="F429" t="s">
        <v>635</v>
      </c>
      <c r="G429">
        <v>6000</v>
      </c>
      <c r="H429">
        <v>0</v>
      </c>
      <c r="I429">
        <v>205</v>
      </c>
      <c r="J429">
        <v>240</v>
      </c>
      <c r="K429">
        <v>1</v>
      </c>
      <c r="L429" t="s">
        <v>646</v>
      </c>
      <c r="M429" t="s">
        <v>637</v>
      </c>
      <c r="N429">
        <f t="shared" si="6"/>
        <v>6000</v>
      </c>
    </row>
    <row r="430" spans="1:14" x14ac:dyDescent="0.3">
      <c r="A430" t="s">
        <v>1233</v>
      </c>
      <c r="B430" t="s">
        <v>629</v>
      </c>
      <c r="C430" t="s">
        <v>635</v>
      </c>
      <c r="D430">
        <v>0</v>
      </c>
      <c r="E430" t="s">
        <v>631</v>
      </c>
      <c r="F430" t="s">
        <v>630</v>
      </c>
      <c r="G430">
        <v>3859</v>
      </c>
      <c r="H430">
        <v>3300</v>
      </c>
      <c r="I430">
        <v>142</v>
      </c>
      <c r="J430">
        <v>180</v>
      </c>
      <c r="K430">
        <v>1</v>
      </c>
      <c r="L430" t="s">
        <v>636</v>
      </c>
      <c r="M430" t="s">
        <v>633</v>
      </c>
      <c r="N430">
        <f t="shared" si="6"/>
        <v>7159</v>
      </c>
    </row>
    <row r="431" spans="1:14" x14ac:dyDescent="0.3">
      <c r="A431" t="s">
        <v>1234</v>
      </c>
      <c r="B431" t="s">
        <v>629</v>
      </c>
      <c r="C431" t="s">
        <v>635</v>
      </c>
      <c r="D431">
        <v>0</v>
      </c>
      <c r="E431" t="s">
        <v>631</v>
      </c>
      <c r="F431" t="s">
        <v>635</v>
      </c>
      <c r="G431">
        <v>16120</v>
      </c>
      <c r="H431">
        <v>0</v>
      </c>
      <c r="I431">
        <v>260</v>
      </c>
      <c r="J431">
        <v>360</v>
      </c>
      <c r="K431">
        <v>1</v>
      </c>
      <c r="L431" t="s">
        <v>632</v>
      </c>
      <c r="M431" t="s">
        <v>633</v>
      </c>
      <c r="N431">
        <f t="shared" si="6"/>
        <v>16120</v>
      </c>
    </row>
    <row r="432" spans="1:14" x14ac:dyDescent="0.3">
      <c r="A432" t="s">
        <v>1235</v>
      </c>
      <c r="B432" t="s">
        <v>629</v>
      </c>
      <c r="C432" t="s">
        <v>630</v>
      </c>
      <c r="D432">
        <v>0</v>
      </c>
      <c r="E432" t="s">
        <v>640</v>
      </c>
      <c r="F432" t="s">
        <v>630</v>
      </c>
      <c r="G432">
        <v>3833</v>
      </c>
      <c r="H432">
        <v>0</v>
      </c>
      <c r="I432">
        <v>110</v>
      </c>
      <c r="J432">
        <v>360</v>
      </c>
      <c r="K432">
        <v>1</v>
      </c>
      <c r="L432" t="s">
        <v>636</v>
      </c>
      <c r="M432" t="s">
        <v>633</v>
      </c>
      <c r="N432">
        <f t="shared" si="6"/>
        <v>3833</v>
      </c>
    </row>
    <row r="433" spans="1:14" x14ac:dyDescent="0.3">
      <c r="A433" t="s">
        <v>1236</v>
      </c>
      <c r="B433" t="s">
        <v>629</v>
      </c>
      <c r="C433" t="s">
        <v>635</v>
      </c>
      <c r="D433">
        <v>2</v>
      </c>
      <c r="E433" t="s">
        <v>640</v>
      </c>
      <c r="F433" t="s">
        <v>635</v>
      </c>
      <c r="G433">
        <v>6383</v>
      </c>
      <c r="H433">
        <v>1000</v>
      </c>
      <c r="I433">
        <v>187</v>
      </c>
      <c r="J433">
        <v>360</v>
      </c>
      <c r="K433">
        <v>1</v>
      </c>
      <c r="L433" t="s">
        <v>636</v>
      </c>
      <c r="M433" t="s">
        <v>637</v>
      </c>
      <c r="N433">
        <f t="shared" si="6"/>
        <v>7383</v>
      </c>
    </row>
    <row r="434" spans="1:14" x14ac:dyDescent="0.3">
      <c r="A434" t="s">
        <v>1238</v>
      </c>
      <c r="B434" t="s">
        <v>629</v>
      </c>
      <c r="C434" t="s">
        <v>635</v>
      </c>
      <c r="D434">
        <v>0</v>
      </c>
      <c r="E434" t="s">
        <v>631</v>
      </c>
      <c r="F434" t="s">
        <v>635</v>
      </c>
      <c r="G434">
        <v>9963</v>
      </c>
      <c r="H434">
        <v>0</v>
      </c>
      <c r="I434">
        <v>180</v>
      </c>
      <c r="J434">
        <v>360</v>
      </c>
      <c r="K434">
        <v>1</v>
      </c>
      <c r="L434" t="s">
        <v>636</v>
      </c>
      <c r="M434" t="s">
        <v>633</v>
      </c>
      <c r="N434">
        <f t="shared" si="6"/>
        <v>9963</v>
      </c>
    </row>
    <row r="435" spans="1:14" x14ac:dyDescent="0.3">
      <c r="A435" t="s">
        <v>1239</v>
      </c>
      <c r="B435" t="s">
        <v>629</v>
      </c>
      <c r="C435" t="s">
        <v>635</v>
      </c>
      <c r="D435">
        <v>2</v>
      </c>
      <c r="E435" t="s">
        <v>631</v>
      </c>
      <c r="F435" t="s">
        <v>630</v>
      </c>
      <c r="G435">
        <v>5780</v>
      </c>
      <c r="H435">
        <v>0</v>
      </c>
      <c r="I435">
        <v>192</v>
      </c>
      <c r="J435">
        <v>360</v>
      </c>
      <c r="K435">
        <v>1</v>
      </c>
      <c r="L435" t="s">
        <v>632</v>
      </c>
      <c r="M435" t="s">
        <v>633</v>
      </c>
      <c r="N435">
        <f t="shared" si="6"/>
        <v>5780</v>
      </c>
    </row>
    <row r="436" spans="1:14" x14ac:dyDescent="0.3">
      <c r="A436" t="s">
        <v>1242</v>
      </c>
      <c r="B436" t="s">
        <v>629</v>
      </c>
      <c r="C436" t="s">
        <v>635</v>
      </c>
      <c r="D436" t="s">
        <v>645</v>
      </c>
      <c r="E436" t="s">
        <v>631</v>
      </c>
      <c r="F436" t="s">
        <v>630</v>
      </c>
      <c r="G436">
        <v>5703</v>
      </c>
      <c r="H436">
        <v>0</v>
      </c>
      <c r="I436">
        <v>128</v>
      </c>
      <c r="J436">
        <v>360</v>
      </c>
      <c r="K436">
        <v>1</v>
      </c>
      <c r="L436" t="s">
        <v>632</v>
      </c>
      <c r="M436" t="s">
        <v>633</v>
      </c>
      <c r="N436">
        <f t="shared" si="6"/>
        <v>5703</v>
      </c>
    </row>
    <row r="437" spans="1:14" x14ac:dyDescent="0.3">
      <c r="A437" t="s">
        <v>1243</v>
      </c>
      <c r="B437" t="s">
        <v>629</v>
      </c>
      <c r="C437" t="s">
        <v>630</v>
      </c>
      <c r="D437">
        <v>0</v>
      </c>
      <c r="E437" t="s">
        <v>631</v>
      </c>
      <c r="F437" t="s">
        <v>630</v>
      </c>
      <c r="G437">
        <v>3676</v>
      </c>
      <c r="H437">
        <v>4301</v>
      </c>
      <c r="I437">
        <v>172</v>
      </c>
      <c r="J437">
        <v>360</v>
      </c>
      <c r="K437">
        <v>1</v>
      </c>
      <c r="L437" t="s">
        <v>636</v>
      </c>
      <c r="M437" t="s">
        <v>633</v>
      </c>
      <c r="N437">
        <f t="shared" si="6"/>
        <v>7977</v>
      </c>
    </row>
    <row r="438" spans="1:14" x14ac:dyDescent="0.3">
      <c r="A438" t="s">
        <v>1246</v>
      </c>
      <c r="B438" t="s">
        <v>629</v>
      </c>
      <c r="C438" t="s">
        <v>635</v>
      </c>
      <c r="D438">
        <v>1</v>
      </c>
      <c r="E438" t="s">
        <v>631</v>
      </c>
      <c r="F438" t="s">
        <v>630</v>
      </c>
      <c r="G438">
        <v>3400</v>
      </c>
      <c r="H438">
        <v>2500</v>
      </c>
      <c r="I438">
        <v>173</v>
      </c>
      <c r="J438">
        <v>360</v>
      </c>
      <c r="K438">
        <v>1</v>
      </c>
      <c r="L438" t="s">
        <v>646</v>
      </c>
      <c r="M438" t="s">
        <v>633</v>
      </c>
      <c r="N438">
        <f t="shared" si="6"/>
        <v>5900</v>
      </c>
    </row>
    <row r="439" spans="1:14" x14ac:dyDescent="0.3">
      <c r="A439" t="s">
        <v>1247</v>
      </c>
      <c r="B439" t="s">
        <v>629</v>
      </c>
      <c r="C439" t="s">
        <v>635</v>
      </c>
      <c r="D439">
        <v>2</v>
      </c>
      <c r="E439" t="s">
        <v>640</v>
      </c>
      <c r="F439" t="s">
        <v>630</v>
      </c>
      <c r="G439">
        <v>3987</v>
      </c>
      <c r="H439">
        <v>1411</v>
      </c>
      <c r="I439">
        <v>157</v>
      </c>
      <c r="J439">
        <v>360</v>
      </c>
      <c r="K439">
        <v>1</v>
      </c>
      <c r="L439" t="s">
        <v>636</v>
      </c>
      <c r="M439" t="s">
        <v>633</v>
      </c>
      <c r="N439">
        <f t="shared" si="6"/>
        <v>5398</v>
      </c>
    </row>
    <row r="440" spans="1:14" x14ac:dyDescent="0.3">
      <c r="A440" t="s">
        <v>1248</v>
      </c>
      <c r="B440" t="s">
        <v>629</v>
      </c>
      <c r="C440" t="s">
        <v>635</v>
      </c>
      <c r="D440">
        <v>0</v>
      </c>
      <c r="E440" t="s">
        <v>631</v>
      </c>
      <c r="F440" t="s">
        <v>630</v>
      </c>
      <c r="G440">
        <v>3232</v>
      </c>
      <c r="H440">
        <v>1950</v>
      </c>
      <c r="I440">
        <v>108</v>
      </c>
      <c r="J440">
        <v>360</v>
      </c>
      <c r="K440">
        <v>1</v>
      </c>
      <c r="L440" t="s">
        <v>636</v>
      </c>
      <c r="M440" t="s">
        <v>633</v>
      </c>
      <c r="N440">
        <f t="shared" si="6"/>
        <v>5182</v>
      </c>
    </row>
    <row r="441" spans="1:14" x14ac:dyDescent="0.3">
      <c r="A441" t="s">
        <v>1249</v>
      </c>
      <c r="B441" t="s">
        <v>657</v>
      </c>
      <c r="C441" t="s">
        <v>630</v>
      </c>
      <c r="D441">
        <v>0</v>
      </c>
      <c r="E441" t="s">
        <v>631</v>
      </c>
      <c r="F441" t="s">
        <v>630</v>
      </c>
      <c r="G441">
        <v>2900</v>
      </c>
      <c r="H441">
        <v>0</v>
      </c>
      <c r="I441">
        <v>71</v>
      </c>
      <c r="J441">
        <v>360</v>
      </c>
      <c r="K441">
        <v>1</v>
      </c>
      <c r="L441" t="s">
        <v>636</v>
      </c>
      <c r="M441" t="s">
        <v>633</v>
      </c>
      <c r="N441">
        <f t="shared" si="6"/>
        <v>2900</v>
      </c>
    </row>
    <row r="442" spans="1:14" x14ac:dyDescent="0.3">
      <c r="A442" t="s">
        <v>1250</v>
      </c>
      <c r="B442" t="s">
        <v>629</v>
      </c>
      <c r="C442" t="s">
        <v>635</v>
      </c>
      <c r="D442" t="s">
        <v>645</v>
      </c>
      <c r="E442" t="s">
        <v>631</v>
      </c>
      <c r="F442" t="s">
        <v>630</v>
      </c>
      <c r="G442">
        <v>4106</v>
      </c>
      <c r="H442">
        <v>0</v>
      </c>
      <c r="I442">
        <v>40</v>
      </c>
      <c r="J442">
        <v>180</v>
      </c>
      <c r="K442">
        <v>1</v>
      </c>
      <c r="L442" t="s">
        <v>636</v>
      </c>
      <c r="M442" t="s">
        <v>633</v>
      </c>
      <c r="N442">
        <f t="shared" si="6"/>
        <v>4106</v>
      </c>
    </row>
    <row r="443" spans="1:14" x14ac:dyDescent="0.3">
      <c r="A443" t="s">
        <v>1251</v>
      </c>
      <c r="B443" t="s">
        <v>629</v>
      </c>
      <c r="C443" t="s">
        <v>635</v>
      </c>
      <c r="D443">
        <v>1</v>
      </c>
      <c r="E443" t="s">
        <v>631</v>
      </c>
      <c r="F443" t="s">
        <v>630</v>
      </c>
      <c r="G443">
        <v>8072</v>
      </c>
      <c r="H443">
        <v>240</v>
      </c>
      <c r="I443">
        <v>253</v>
      </c>
      <c r="J443">
        <v>360</v>
      </c>
      <c r="K443">
        <v>1</v>
      </c>
      <c r="L443" t="s">
        <v>632</v>
      </c>
      <c r="M443" t="s">
        <v>633</v>
      </c>
      <c r="N443">
        <f t="shared" si="6"/>
        <v>8312</v>
      </c>
    </row>
    <row r="444" spans="1:14" x14ac:dyDescent="0.3">
      <c r="A444" t="s">
        <v>1252</v>
      </c>
      <c r="B444" t="s">
        <v>629</v>
      </c>
      <c r="C444" t="s">
        <v>635</v>
      </c>
      <c r="D444">
        <v>2</v>
      </c>
      <c r="E444" t="s">
        <v>631</v>
      </c>
      <c r="F444" t="s">
        <v>630</v>
      </c>
      <c r="G444">
        <v>7583</v>
      </c>
      <c r="H444">
        <v>0</v>
      </c>
      <c r="I444">
        <v>187</v>
      </c>
      <c r="J444">
        <v>360</v>
      </c>
      <c r="K444">
        <v>1</v>
      </c>
      <c r="L444" t="s">
        <v>632</v>
      </c>
      <c r="M444" t="s">
        <v>633</v>
      </c>
      <c r="N444">
        <f t="shared" si="6"/>
        <v>7583</v>
      </c>
    </row>
    <row r="445" spans="1:14" x14ac:dyDescent="0.3">
      <c r="A445" t="s">
        <v>1253</v>
      </c>
      <c r="B445" t="s">
        <v>657</v>
      </c>
      <c r="C445" t="s">
        <v>630</v>
      </c>
      <c r="D445">
        <v>0</v>
      </c>
      <c r="E445" t="s">
        <v>631</v>
      </c>
      <c r="F445" t="s">
        <v>635</v>
      </c>
      <c r="G445">
        <v>4583</v>
      </c>
      <c r="H445">
        <v>0</v>
      </c>
      <c r="I445">
        <v>133</v>
      </c>
      <c r="J445">
        <v>360</v>
      </c>
      <c r="K445">
        <v>0</v>
      </c>
      <c r="L445" t="s">
        <v>646</v>
      </c>
      <c r="M445" t="s">
        <v>637</v>
      </c>
      <c r="N445">
        <f t="shared" si="6"/>
        <v>4583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BF94-22D6-4C32-8DC4-9ACDB153925D}">
  <dimension ref="A1:Z445"/>
  <sheetViews>
    <sheetView tabSelected="1" topLeftCell="M10" zoomScale="107" workbookViewId="0">
      <selection activeCell="AD15" sqref="AD15"/>
    </sheetView>
  </sheetViews>
  <sheetFormatPr defaultRowHeight="14.4" x14ac:dyDescent="0.3"/>
  <cols>
    <col min="18" max="18" width="9" bestFit="1" customWidth="1"/>
    <col min="19" max="19" width="10" customWidth="1"/>
    <col min="21" max="21" width="11.5546875" bestFit="1" customWidth="1"/>
    <col min="22" max="22" width="13.44140625" bestFit="1" customWidth="1"/>
    <col min="24" max="24" width="12.33203125" customWidth="1"/>
    <col min="25" max="25" width="9" bestFit="1" customWidth="1"/>
    <col min="26" max="26" width="10.33203125" customWidth="1"/>
  </cols>
  <sheetData>
    <row r="1" spans="1:26" x14ac:dyDescent="0.3">
      <c r="A1" t="s">
        <v>615</v>
      </c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1254</v>
      </c>
    </row>
    <row r="2" spans="1:26" x14ac:dyDescent="0.3">
      <c r="A2" t="s">
        <v>651</v>
      </c>
      <c r="B2" t="s">
        <v>629</v>
      </c>
      <c r="C2" t="s">
        <v>635</v>
      </c>
      <c r="D2">
        <v>2</v>
      </c>
      <c r="E2" t="s">
        <v>631</v>
      </c>
      <c r="F2" t="s">
        <v>630</v>
      </c>
      <c r="G2">
        <v>3073</v>
      </c>
      <c r="H2">
        <v>8106</v>
      </c>
      <c r="I2">
        <v>200</v>
      </c>
      <c r="J2">
        <v>360</v>
      </c>
      <c r="K2">
        <v>1</v>
      </c>
      <c r="L2" t="s">
        <v>632</v>
      </c>
      <c r="M2" t="s">
        <v>633</v>
      </c>
      <c r="N2">
        <f>G2+H2</f>
        <v>11179</v>
      </c>
    </row>
    <row r="3" spans="1:26" x14ac:dyDescent="0.3">
      <c r="A3" t="s">
        <v>652</v>
      </c>
      <c r="B3" t="s">
        <v>629</v>
      </c>
      <c r="C3" t="s">
        <v>630</v>
      </c>
      <c r="D3">
        <v>0</v>
      </c>
      <c r="E3" t="s">
        <v>631</v>
      </c>
      <c r="F3" t="s">
        <v>630</v>
      </c>
      <c r="G3">
        <v>1853</v>
      </c>
      <c r="H3">
        <v>2840</v>
      </c>
      <c r="I3">
        <v>114</v>
      </c>
      <c r="J3">
        <v>360</v>
      </c>
      <c r="K3">
        <v>1</v>
      </c>
      <c r="L3" t="s">
        <v>636</v>
      </c>
      <c r="M3" t="s">
        <v>637</v>
      </c>
      <c r="N3">
        <f t="shared" ref="N3:N66" si="0">G3+H3</f>
        <v>4693</v>
      </c>
      <c r="Q3" s="2" t="s">
        <v>1255</v>
      </c>
      <c r="U3" s="2" t="s">
        <v>1258</v>
      </c>
    </row>
    <row r="4" spans="1:26" x14ac:dyDescent="0.3">
      <c r="A4" t="s">
        <v>653</v>
      </c>
      <c r="B4" t="s">
        <v>629</v>
      </c>
      <c r="C4" t="s">
        <v>635</v>
      </c>
      <c r="D4">
        <v>2</v>
      </c>
      <c r="E4" t="s">
        <v>631</v>
      </c>
      <c r="F4" t="s">
        <v>630</v>
      </c>
      <c r="G4">
        <v>1299</v>
      </c>
      <c r="H4">
        <v>1086</v>
      </c>
      <c r="I4">
        <v>17</v>
      </c>
      <c r="J4">
        <v>120</v>
      </c>
      <c r="K4">
        <v>1</v>
      </c>
      <c r="L4" t="s">
        <v>632</v>
      </c>
      <c r="M4" t="s">
        <v>633</v>
      </c>
      <c r="N4">
        <f t="shared" si="0"/>
        <v>2385</v>
      </c>
      <c r="Q4" s="3" t="s">
        <v>616</v>
      </c>
      <c r="R4" s="3" t="s">
        <v>1256</v>
      </c>
      <c r="S4" s="3" t="s">
        <v>1264</v>
      </c>
      <c r="U4" s="3" t="s">
        <v>1262</v>
      </c>
      <c r="V4" s="3" t="s">
        <v>1263</v>
      </c>
      <c r="X4" s="3" t="s">
        <v>626</v>
      </c>
      <c r="Y4" s="3" t="s">
        <v>1256</v>
      </c>
      <c r="Z4" s="3" t="s">
        <v>1264</v>
      </c>
    </row>
    <row r="5" spans="1:26" x14ac:dyDescent="0.3">
      <c r="A5" t="s">
        <v>654</v>
      </c>
      <c r="B5" t="s">
        <v>629</v>
      </c>
      <c r="C5" t="s">
        <v>630</v>
      </c>
      <c r="D5">
        <v>0</v>
      </c>
      <c r="E5" t="s">
        <v>631</v>
      </c>
      <c r="F5" t="s">
        <v>630</v>
      </c>
      <c r="G5">
        <v>4950</v>
      </c>
      <c r="H5">
        <v>0</v>
      </c>
      <c r="I5">
        <v>125</v>
      </c>
      <c r="J5">
        <v>360</v>
      </c>
      <c r="K5">
        <v>1</v>
      </c>
      <c r="L5" t="s">
        <v>632</v>
      </c>
      <c r="M5" t="s">
        <v>633</v>
      </c>
      <c r="N5">
        <f t="shared" si="0"/>
        <v>4950</v>
      </c>
      <c r="Q5" s="4" t="s">
        <v>629</v>
      </c>
      <c r="R5" s="4">
        <f>COUNTIF(B2:B445,Q5)</f>
        <v>362</v>
      </c>
      <c r="S5" s="6">
        <f>R5/$R$7</f>
        <v>0.81531531531531531</v>
      </c>
      <c r="U5" s="4" t="s">
        <v>1259</v>
      </c>
      <c r="V5" s="5">
        <f>AVERAGE(N2:N445)</f>
        <v>25839630.563063063</v>
      </c>
      <c r="X5" s="4" t="s">
        <v>636</v>
      </c>
      <c r="Y5" s="4">
        <f>COUNTIF($L$2:$L$445,X5)</f>
        <v>126</v>
      </c>
      <c r="Z5" s="6">
        <f>Y5/$Y$8</f>
        <v>0.28378378378378377</v>
      </c>
    </row>
    <row r="6" spans="1:26" x14ac:dyDescent="0.3">
      <c r="A6" t="s">
        <v>656</v>
      </c>
      <c r="B6" t="s">
        <v>657</v>
      </c>
      <c r="C6" t="s">
        <v>630</v>
      </c>
      <c r="D6">
        <v>0</v>
      </c>
      <c r="E6" t="s">
        <v>631</v>
      </c>
      <c r="F6" t="s">
        <v>630</v>
      </c>
      <c r="G6">
        <v>3510</v>
      </c>
      <c r="H6">
        <v>0</v>
      </c>
      <c r="I6">
        <v>76</v>
      </c>
      <c r="J6">
        <v>360</v>
      </c>
      <c r="K6">
        <v>0</v>
      </c>
      <c r="L6" t="s">
        <v>632</v>
      </c>
      <c r="M6" t="s">
        <v>637</v>
      </c>
      <c r="N6">
        <f t="shared" si="0"/>
        <v>3510</v>
      </c>
      <c r="Q6" s="4" t="s">
        <v>657</v>
      </c>
      <c r="R6" s="4">
        <f>COUNTIF(B3:B446,Q6)</f>
        <v>82</v>
      </c>
      <c r="S6" s="6">
        <f t="shared" ref="S6:S7" si="1">R6/$R$7</f>
        <v>0.18468468468468469</v>
      </c>
      <c r="U6" s="4" t="s">
        <v>1260</v>
      </c>
      <c r="V6" s="4">
        <f>MAX(N2:N445)</f>
        <v>9858002179</v>
      </c>
      <c r="X6" s="4" t="s">
        <v>632</v>
      </c>
      <c r="Y6" s="4">
        <f t="shared" ref="Y6:Y7" si="2">COUNTIF($L$2:$L$445,X6)</f>
        <v>138</v>
      </c>
      <c r="Z6" s="6">
        <f t="shared" ref="Z6:Z8" si="3">Y6/$Y$8</f>
        <v>0.3108108108108108</v>
      </c>
    </row>
    <row r="7" spans="1:26" x14ac:dyDescent="0.3">
      <c r="A7" t="s">
        <v>658</v>
      </c>
      <c r="B7" t="s">
        <v>629</v>
      </c>
      <c r="C7" t="s">
        <v>635</v>
      </c>
      <c r="D7">
        <v>0</v>
      </c>
      <c r="E7" t="s">
        <v>640</v>
      </c>
      <c r="F7" t="s">
        <v>630</v>
      </c>
      <c r="G7">
        <v>4887</v>
      </c>
      <c r="H7">
        <v>0</v>
      </c>
      <c r="I7">
        <v>133</v>
      </c>
      <c r="J7">
        <v>360</v>
      </c>
      <c r="K7">
        <v>1</v>
      </c>
      <c r="L7" t="s">
        <v>636</v>
      </c>
      <c r="M7" t="s">
        <v>637</v>
      </c>
      <c r="N7">
        <f t="shared" si="0"/>
        <v>4887</v>
      </c>
      <c r="Q7" s="4" t="s">
        <v>1257</v>
      </c>
      <c r="R7" s="4">
        <f>SUM(R5:R6)</f>
        <v>444</v>
      </c>
      <c r="S7" s="6">
        <f t="shared" si="1"/>
        <v>1</v>
      </c>
      <c r="U7" s="4" t="s">
        <v>1261</v>
      </c>
      <c r="V7" s="4">
        <f>MIN(N2:N445)</f>
        <v>1442</v>
      </c>
      <c r="X7" s="4" t="s">
        <v>646</v>
      </c>
      <c r="Y7" s="4">
        <f t="shared" si="2"/>
        <v>180</v>
      </c>
      <c r="Z7" s="6">
        <f t="shared" si="3"/>
        <v>0.40540540540540543</v>
      </c>
    </row>
    <row r="8" spans="1:26" x14ac:dyDescent="0.3">
      <c r="A8" t="s">
        <v>660</v>
      </c>
      <c r="B8" t="s">
        <v>629</v>
      </c>
      <c r="C8" t="s">
        <v>635</v>
      </c>
      <c r="D8">
        <v>0</v>
      </c>
      <c r="E8" t="s">
        <v>640</v>
      </c>
      <c r="F8" t="s">
        <v>630</v>
      </c>
      <c r="G8">
        <v>7660</v>
      </c>
      <c r="H8">
        <v>0</v>
      </c>
      <c r="I8">
        <v>104</v>
      </c>
      <c r="J8">
        <v>360</v>
      </c>
      <c r="K8">
        <v>0</v>
      </c>
      <c r="L8" t="s">
        <v>632</v>
      </c>
      <c r="M8" t="s">
        <v>637</v>
      </c>
      <c r="N8">
        <f t="shared" si="0"/>
        <v>7660</v>
      </c>
      <c r="X8" s="4" t="s">
        <v>1257</v>
      </c>
      <c r="Y8" s="4">
        <f>SUM(Y5:Y7)</f>
        <v>444</v>
      </c>
      <c r="Z8" s="6">
        <f t="shared" si="3"/>
        <v>1</v>
      </c>
    </row>
    <row r="9" spans="1:26" x14ac:dyDescent="0.3">
      <c r="A9" t="s">
        <v>662</v>
      </c>
      <c r="B9" t="s">
        <v>629</v>
      </c>
      <c r="C9" t="s">
        <v>635</v>
      </c>
      <c r="D9">
        <v>0</v>
      </c>
      <c r="E9" t="s">
        <v>640</v>
      </c>
      <c r="F9" t="s">
        <v>630</v>
      </c>
      <c r="G9">
        <v>2600</v>
      </c>
      <c r="H9">
        <v>1911</v>
      </c>
      <c r="I9">
        <v>116</v>
      </c>
      <c r="J9">
        <v>360</v>
      </c>
      <c r="K9">
        <v>0</v>
      </c>
      <c r="L9" t="s">
        <v>646</v>
      </c>
      <c r="M9" t="s">
        <v>637</v>
      </c>
      <c r="N9">
        <f t="shared" si="0"/>
        <v>4511</v>
      </c>
    </row>
    <row r="10" spans="1:26" x14ac:dyDescent="0.3">
      <c r="A10" t="s">
        <v>665</v>
      </c>
      <c r="B10" t="s">
        <v>629</v>
      </c>
      <c r="C10" t="s">
        <v>635</v>
      </c>
      <c r="D10">
        <v>0</v>
      </c>
      <c r="E10" t="s">
        <v>631</v>
      </c>
      <c r="F10" t="s">
        <v>635</v>
      </c>
      <c r="G10">
        <v>9560</v>
      </c>
      <c r="H10">
        <v>0</v>
      </c>
      <c r="I10">
        <v>191</v>
      </c>
      <c r="J10">
        <v>360</v>
      </c>
      <c r="K10">
        <v>1</v>
      </c>
      <c r="L10" t="s">
        <v>646</v>
      </c>
      <c r="M10" t="s">
        <v>633</v>
      </c>
      <c r="N10">
        <f t="shared" si="0"/>
        <v>9560</v>
      </c>
    </row>
    <row r="11" spans="1:26" x14ac:dyDescent="0.3">
      <c r="A11" t="s">
        <v>666</v>
      </c>
      <c r="B11" t="s">
        <v>629</v>
      </c>
      <c r="C11" t="s">
        <v>635</v>
      </c>
      <c r="D11">
        <v>0</v>
      </c>
      <c r="E11" t="s">
        <v>631</v>
      </c>
      <c r="F11" t="s">
        <v>630</v>
      </c>
      <c r="G11">
        <v>2799</v>
      </c>
      <c r="H11">
        <v>2253</v>
      </c>
      <c r="I11">
        <v>122</v>
      </c>
      <c r="J11">
        <v>360</v>
      </c>
      <c r="K11">
        <v>1</v>
      </c>
      <c r="L11" t="s">
        <v>646</v>
      </c>
      <c r="M11" t="s">
        <v>633</v>
      </c>
      <c r="N11">
        <f t="shared" si="0"/>
        <v>5052</v>
      </c>
    </row>
    <row r="12" spans="1:26" x14ac:dyDescent="0.3">
      <c r="A12" t="s">
        <v>667</v>
      </c>
      <c r="B12" t="s">
        <v>629</v>
      </c>
      <c r="C12" t="s">
        <v>635</v>
      </c>
      <c r="D12">
        <v>2</v>
      </c>
      <c r="E12" t="s">
        <v>640</v>
      </c>
      <c r="F12" t="s">
        <v>630</v>
      </c>
      <c r="G12">
        <v>4226</v>
      </c>
      <c r="H12">
        <v>1040</v>
      </c>
      <c r="I12">
        <v>110</v>
      </c>
      <c r="J12">
        <v>360</v>
      </c>
      <c r="K12">
        <v>1</v>
      </c>
      <c r="L12" t="s">
        <v>632</v>
      </c>
      <c r="M12" t="s">
        <v>633</v>
      </c>
      <c r="N12">
        <f t="shared" si="0"/>
        <v>5266</v>
      </c>
    </row>
    <row r="13" spans="1:26" x14ac:dyDescent="0.3">
      <c r="A13" t="s">
        <v>668</v>
      </c>
      <c r="B13" t="s">
        <v>629</v>
      </c>
      <c r="C13" t="s">
        <v>630</v>
      </c>
      <c r="D13">
        <v>0</v>
      </c>
      <c r="E13" t="s">
        <v>640</v>
      </c>
      <c r="F13" t="s">
        <v>630</v>
      </c>
      <c r="G13">
        <v>1442</v>
      </c>
      <c r="H13">
        <v>0</v>
      </c>
      <c r="I13">
        <v>35</v>
      </c>
      <c r="J13">
        <v>360</v>
      </c>
      <c r="K13">
        <v>1</v>
      </c>
      <c r="L13" t="s">
        <v>632</v>
      </c>
      <c r="M13" t="s">
        <v>637</v>
      </c>
      <c r="N13">
        <f t="shared" si="0"/>
        <v>1442</v>
      </c>
    </row>
    <row r="14" spans="1:26" x14ac:dyDescent="0.3">
      <c r="A14" t="s">
        <v>671</v>
      </c>
      <c r="B14" t="s">
        <v>629</v>
      </c>
      <c r="C14" t="s">
        <v>630</v>
      </c>
      <c r="D14">
        <v>0</v>
      </c>
      <c r="E14" t="s">
        <v>631</v>
      </c>
      <c r="F14" t="s">
        <v>630</v>
      </c>
      <c r="G14">
        <v>3167</v>
      </c>
      <c r="H14">
        <v>0</v>
      </c>
      <c r="I14">
        <v>74</v>
      </c>
      <c r="J14">
        <v>360</v>
      </c>
      <c r="K14">
        <v>1</v>
      </c>
      <c r="L14" t="s">
        <v>632</v>
      </c>
      <c r="M14" t="s">
        <v>637</v>
      </c>
      <c r="N14">
        <f t="shared" si="0"/>
        <v>3167</v>
      </c>
    </row>
    <row r="15" spans="1:26" x14ac:dyDescent="0.3">
      <c r="A15" t="s">
        <v>672</v>
      </c>
      <c r="B15" t="s">
        <v>629</v>
      </c>
      <c r="C15" t="s">
        <v>630</v>
      </c>
      <c r="D15">
        <v>1</v>
      </c>
      <c r="E15" t="s">
        <v>631</v>
      </c>
      <c r="F15" t="s">
        <v>635</v>
      </c>
      <c r="G15">
        <v>4692</v>
      </c>
      <c r="H15">
        <v>0</v>
      </c>
      <c r="I15">
        <v>106</v>
      </c>
      <c r="J15">
        <v>360</v>
      </c>
      <c r="K15">
        <v>1</v>
      </c>
      <c r="L15" t="s">
        <v>636</v>
      </c>
      <c r="M15" t="s">
        <v>637</v>
      </c>
      <c r="N15">
        <f t="shared" si="0"/>
        <v>4692</v>
      </c>
    </row>
    <row r="16" spans="1:26" x14ac:dyDescent="0.3">
      <c r="A16" t="s">
        <v>673</v>
      </c>
      <c r="B16" t="s">
        <v>629</v>
      </c>
      <c r="C16" t="s">
        <v>635</v>
      </c>
      <c r="D16">
        <v>0</v>
      </c>
      <c r="E16" t="s">
        <v>631</v>
      </c>
      <c r="F16" t="s">
        <v>630</v>
      </c>
      <c r="G16">
        <v>3500</v>
      </c>
      <c r="H16">
        <v>1667</v>
      </c>
      <c r="I16">
        <v>114</v>
      </c>
      <c r="J16">
        <v>360</v>
      </c>
      <c r="K16">
        <v>1</v>
      </c>
      <c r="L16" t="s">
        <v>646</v>
      </c>
      <c r="M16" t="s">
        <v>633</v>
      </c>
      <c r="N16">
        <f t="shared" si="0"/>
        <v>5167</v>
      </c>
    </row>
    <row r="17" spans="1:14" x14ac:dyDescent="0.3">
      <c r="A17" t="s">
        <v>677</v>
      </c>
      <c r="B17" t="s">
        <v>657</v>
      </c>
      <c r="C17" t="s">
        <v>635</v>
      </c>
      <c r="D17">
        <v>0</v>
      </c>
      <c r="E17" t="s">
        <v>631</v>
      </c>
      <c r="F17" t="s">
        <v>630</v>
      </c>
      <c r="G17">
        <v>3667</v>
      </c>
      <c r="H17">
        <v>1459</v>
      </c>
      <c r="I17">
        <v>144</v>
      </c>
      <c r="J17">
        <v>360</v>
      </c>
      <c r="K17">
        <v>1</v>
      </c>
      <c r="L17" t="s">
        <v>646</v>
      </c>
      <c r="M17" t="s">
        <v>633</v>
      </c>
      <c r="N17">
        <f t="shared" si="0"/>
        <v>5126</v>
      </c>
    </row>
    <row r="18" spans="1:14" x14ac:dyDescent="0.3">
      <c r="A18" t="s">
        <v>678</v>
      </c>
      <c r="B18" t="s">
        <v>629</v>
      </c>
      <c r="C18" t="s">
        <v>630</v>
      </c>
      <c r="D18">
        <v>0</v>
      </c>
      <c r="E18" t="s">
        <v>631</v>
      </c>
      <c r="F18" t="s">
        <v>630</v>
      </c>
      <c r="G18">
        <v>4166</v>
      </c>
      <c r="H18">
        <v>7210</v>
      </c>
      <c r="I18">
        <v>184</v>
      </c>
      <c r="J18">
        <v>360</v>
      </c>
      <c r="K18">
        <v>1</v>
      </c>
      <c r="L18" t="s">
        <v>632</v>
      </c>
      <c r="M18" t="s">
        <v>633</v>
      </c>
      <c r="N18">
        <f t="shared" si="0"/>
        <v>11376</v>
      </c>
    </row>
    <row r="19" spans="1:14" x14ac:dyDescent="0.3">
      <c r="A19" t="s">
        <v>679</v>
      </c>
      <c r="B19" t="s">
        <v>629</v>
      </c>
      <c r="C19" t="s">
        <v>630</v>
      </c>
      <c r="D19">
        <v>0</v>
      </c>
      <c r="E19" t="s">
        <v>640</v>
      </c>
      <c r="F19" t="s">
        <v>630</v>
      </c>
      <c r="G19">
        <v>3748</v>
      </c>
      <c r="H19">
        <v>1668</v>
      </c>
      <c r="I19">
        <v>110</v>
      </c>
      <c r="J19">
        <v>360</v>
      </c>
      <c r="K19">
        <v>1</v>
      </c>
      <c r="L19" t="s">
        <v>646</v>
      </c>
      <c r="M19" t="s">
        <v>633</v>
      </c>
      <c r="N19">
        <f t="shared" si="0"/>
        <v>5416</v>
      </c>
    </row>
    <row r="20" spans="1:14" x14ac:dyDescent="0.3">
      <c r="A20" t="s">
        <v>680</v>
      </c>
      <c r="B20" t="s">
        <v>629</v>
      </c>
      <c r="C20" t="s">
        <v>630</v>
      </c>
      <c r="D20">
        <v>0</v>
      </c>
      <c r="E20" t="s">
        <v>631</v>
      </c>
      <c r="F20" t="s">
        <v>630</v>
      </c>
      <c r="G20">
        <v>3600</v>
      </c>
      <c r="H20">
        <v>0</v>
      </c>
      <c r="I20">
        <v>80</v>
      </c>
      <c r="J20">
        <v>360</v>
      </c>
      <c r="K20">
        <v>1</v>
      </c>
      <c r="L20" t="s">
        <v>632</v>
      </c>
      <c r="M20" t="s">
        <v>637</v>
      </c>
      <c r="N20">
        <f t="shared" si="0"/>
        <v>3600</v>
      </c>
    </row>
    <row r="21" spans="1:14" x14ac:dyDescent="0.3">
      <c r="A21" t="s">
        <v>681</v>
      </c>
      <c r="B21" t="s">
        <v>629</v>
      </c>
      <c r="C21" t="s">
        <v>630</v>
      </c>
      <c r="D21">
        <v>0</v>
      </c>
      <c r="E21" t="s">
        <v>631</v>
      </c>
      <c r="F21" t="s">
        <v>630</v>
      </c>
      <c r="G21">
        <v>1800</v>
      </c>
      <c r="H21">
        <v>1213</v>
      </c>
      <c r="I21">
        <v>47</v>
      </c>
      <c r="J21">
        <v>360</v>
      </c>
      <c r="K21">
        <v>1</v>
      </c>
      <c r="L21" t="s">
        <v>632</v>
      </c>
      <c r="M21" t="s">
        <v>633</v>
      </c>
      <c r="N21">
        <f t="shared" si="0"/>
        <v>3013</v>
      </c>
    </row>
    <row r="22" spans="1:14" x14ac:dyDescent="0.3">
      <c r="A22" t="s">
        <v>683</v>
      </c>
      <c r="B22" t="s">
        <v>629</v>
      </c>
      <c r="C22" t="s">
        <v>635</v>
      </c>
      <c r="D22">
        <v>0</v>
      </c>
      <c r="E22" t="s">
        <v>631</v>
      </c>
      <c r="F22" t="s">
        <v>630</v>
      </c>
      <c r="G22">
        <v>3941</v>
      </c>
      <c r="H22">
        <v>2336</v>
      </c>
      <c r="I22">
        <v>134</v>
      </c>
      <c r="J22">
        <v>360</v>
      </c>
      <c r="K22">
        <v>1</v>
      </c>
      <c r="L22" t="s">
        <v>646</v>
      </c>
      <c r="M22" t="s">
        <v>633</v>
      </c>
      <c r="N22">
        <f t="shared" si="0"/>
        <v>6277</v>
      </c>
    </row>
    <row r="23" spans="1:14" x14ac:dyDescent="0.3">
      <c r="A23" t="s">
        <v>686</v>
      </c>
      <c r="B23" t="s">
        <v>629</v>
      </c>
      <c r="C23" t="s">
        <v>635</v>
      </c>
      <c r="D23">
        <v>1</v>
      </c>
      <c r="E23" t="s">
        <v>631</v>
      </c>
      <c r="F23" t="s">
        <v>630</v>
      </c>
      <c r="G23">
        <v>5649</v>
      </c>
      <c r="H23">
        <v>0</v>
      </c>
      <c r="I23">
        <v>44</v>
      </c>
      <c r="J23">
        <v>360</v>
      </c>
      <c r="K23">
        <v>1</v>
      </c>
      <c r="L23" t="s">
        <v>632</v>
      </c>
      <c r="M23" t="s">
        <v>633</v>
      </c>
      <c r="N23">
        <f t="shared" si="0"/>
        <v>5649</v>
      </c>
    </row>
    <row r="24" spans="1:14" x14ac:dyDescent="0.3">
      <c r="A24" t="s">
        <v>687</v>
      </c>
      <c r="B24" t="s">
        <v>629</v>
      </c>
      <c r="C24" t="s">
        <v>635</v>
      </c>
      <c r="D24">
        <v>0</v>
      </c>
      <c r="E24" t="s">
        <v>631</v>
      </c>
      <c r="F24" t="s">
        <v>630</v>
      </c>
      <c r="G24">
        <v>5821</v>
      </c>
      <c r="H24">
        <v>0</v>
      </c>
      <c r="I24">
        <v>144</v>
      </c>
      <c r="J24">
        <v>360</v>
      </c>
      <c r="K24">
        <v>1</v>
      </c>
      <c r="L24" t="s">
        <v>632</v>
      </c>
      <c r="M24" t="s">
        <v>633</v>
      </c>
      <c r="N24">
        <f t="shared" si="0"/>
        <v>5821</v>
      </c>
    </row>
    <row r="25" spans="1:14" x14ac:dyDescent="0.3">
      <c r="A25" t="s">
        <v>688</v>
      </c>
      <c r="B25" t="s">
        <v>657</v>
      </c>
      <c r="C25" t="s">
        <v>635</v>
      </c>
      <c r="D25">
        <v>0</v>
      </c>
      <c r="E25" t="s">
        <v>631</v>
      </c>
      <c r="F25" t="s">
        <v>630</v>
      </c>
      <c r="G25">
        <v>2645</v>
      </c>
      <c r="H25">
        <v>3440</v>
      </c>
      <c r="I25">
        <v>120</v>
      </c>
      <c r="J25">
        <v>360</v>
      </c>
      <c r="K25">
        <v>0</v>
      </c>
      <c r="L25" t="s">
        <v>632</v>
      </c>
      <c r="M25" t="s">
        <v>637</v>
      </c>
      <c r="N25">
        <f t="shared" si="0"/>
        <v>6085</v>
      </c>
    </row>
    <row r="26" spans="1:14" x14ac:dyDescent="0.3">
      <c r="A26" t="s">
        <v>689</v>
      </c>
      <c r="B26" t="s">
        <v>657</v>
      </c>
      <c r="C26" t="s">
        <v>630</v>
      </c>
      <c r="D26">
        <v>0</v>
      </c>
      <c r="E26" t="s">
        <v>631</v>
      </c>
      <c r="F26" t="s">
        <v>630</v>
      </c>
      <c r="G26">
        <v>4000</v>
      </c>
      <c r="H26">
        <v>2275</v>
      </c>
      <c r="I26">
        <v>144</v>
      </c>
      <c r="J26">
        <v>360</v>
      </c>
      <c r="K26">
        <v>1</v>
      </c>
      <c r="L26" t="s">
        <v>646</v>
      </c>
      <c r="M26" t="s">
        <v>633</v>
      </c>
      <c r="N26">
        <f t="shared" si="0"/>
        <v>6275</v>
      </c>
    </row>
    <row r="27" spans="1:14" x14ac:dyDescent="0.3">
      <c r="A27" t="s">
        <v>690</v>
      </c>
      <c r="B27" t="s">
        <v>657</v>
      </c>
      <c r="C27" t="s">
        <v>635</v>
      </c>
      <c r="D27">
        <v>0</v>
      </c>
      <c r="E27" t="s">
        <v>640</v>
      </c>
      <c r="F27" t="s">
        <v>630</v>
      </c>
      <c r="G27">
        <v>1928</v>
      </c>
      <c r="H27">
        <v>1644</v>
      </c>
      <c r="I27">
        <v>100</v>
      </c>
      <c r="J27">
        <v>360</v>
      </c>
      <c r="K27">
        <v>1</v>
      </c>
      <c r="L27" t="s">
        <v>646</v>
      </c>
      <c r="M27" t="s">
        <v>633</v>
      </c>
      <c r="N27">
        <f t="shared" si="0"/>
        <v>3572</v>
      </c>
    </row>
    <row r="28" spans="1:14" x14ac:dyDescent="0.3">
      <c r="A28" t="s">
        <v>691</v>
      </c>
      <c r="B28" t="s">
        <v>657</v>
      </c>
      <c r="C28" t="s">
        <v>630</v>
      </c>
      <c r="D28">
        <v>0</v>
      </c>
      <c r="E28" t="s">
        <v>631</v>
      </c>
      <c r="F28" t="s">
        <v>630</v>
      </c>
      <c r="G28">
        <v>3086</v>
      </c>
      <c r="H28">
        <v>0</v>
      </c>
      <c r="I28">
        <v>120</v>
      </c>
      <c r="J28">
        <v>360</v>
      </c>
      <c r="K28">
        <v>1</v>
      </c>
      <c r="L28" t="s">
        <v>646</v>
      </c>
      <c r="M28" t="s">
        <v>633</v>
      </c>
      <c r="N28">
        <f t="shared" si="0"/>
        <v>3086</v>
      </c>
    </row>
    <row r="29" spans="1:14" x14ac:dyDescent="0.3">
      <c r="A29" t="s">
        <v>692</v>
      </c>
      <c r="B29" t="s">
        <v>657</v>
      </c>
      <c r="C29" t="s">
        <v>630</v>
      </c>
      <c r="D29">
        <v>0</v>
      </c>
      <c r="E29" t="s">
        <v>631</v>
      </c>
      <c r="F29" t="s">
        <v>630</v>
      </c>
      <c r="G29">
        <v>4230</v>
      </c>
      <c r="H29">
        <v>0</v>
      </c>
      <c r="I29">
        <v>112</v>
      </c>
      <c r="J29">
        <v>360</v>
      </c>
      <c r="K29">
        <v>1</v>
      </c>
      <c r="L29" t="s">
        <v>646</v>
      </c>
      <c r="M29" t="s">
        <v>637</v>
      </c>
      <c r="N29">
        <f t="shared" si="0"/>
        <v>4230</v>
      </c>
    </row>
    <row r="30" spans="1:14" x14ac:dyDescent="0.3">
      <c r="A30" t="s">
        <v>693</v>
      </c>
      <c r="B30" t="s">
        <v>629</v>
      </c>
      <c r="C30" t="s">
        <v>635</v>
      </c>
      <c r="D30">
        <v>2</v>
      </c>
      <c r="E30" t="s">
        <v>631</v>
      </c>
      <c r="F30" t="s">
        <v>630</v>
      </c>
      <c r="G30">
        <v>4616</v>
      </c>
      <c r="H30">
        <v>0</v>
      </c>
      <c r="I30">
        <v>134</v>
      </c>
      <c r="J30">
        <v>360</v>
      </c>
      <c r="K30">
        <v>1</v>
      </c>
      <c r="L30" t="s">
        <v>632</v>
      </c>
      <c r="M30" t="s">
        <v>637</v>
      </c>
      <c r="N30">
        <f t="shared" si="0"/>
        <v>4616</v>
      </c>
    </row>
    <row r="31" spans="1:14" x14ac:dyDescent="0.3">
      <c r="A31" t="s">
        <v>695</v>
      </c>
      <c r="B31" t="s">
        <v>629</v>
      </c>
      <c r="C31" t="s">
        <v>635</v>
      </c>
      <c r="D31">
        <v>2</v>
      </c>
      <c r="E31" t="s">
        <v>631</v>
      </c>
      <c r="F31" t="s">
        <v>630</v>
      </c>
      <c r="G31">
        <v>2708</v>
      </c>
      <c r="H31">
        <v>1167</v>
      </c>
      <c r="I31">
        <v>97</v>
      </c>
      <c r="J31">
        <v>360</v>
      </c>
      <c r="K31">
        <v>1</v>
      </c>
      <c r="L31" t="s">
        <v>646</v>
      </c>
      <c r="M31" t="s">
        <v>633</v>
      </c>
      <c r="N31">
        <f t="shared" si="0"/>
        <v>3875</v>
      </c>
    </row>
    <row r="32" spans="1:14" x14ac:dyDescent="0.3">
      <c r="A32" t="s">
        <v>696</v>
      </c>
      <c r="B32" t="s">
        <v>629</v>
      </c>
      <c r="C32" t="s">
        <v>635</v>
      </c>
      <c r="D32">
        <v>0</v>
      </c>
      <c r="E32" t="s">
        <v>631</v>
      </c>
      <c r="F32" t="s">
        <v>630</v>
      </c>
      <c r="G32">
        <v>2132</v>
      </c>
      <c r="H32">
        <v>1591</v>
      </c>
      <c r="I32">
        <v>96</v>
      </c>
      <c r="J32">
        <v>360</v>
      </c>
      <c r="K32">
        <v>1</v>
      </c>
      <c r="L32" t="s">
        <v>646</v>
      </c>
      <c r="M32" t="s">
        <v>633</v>
      </c>
      <c r="N32">
        <f t="shared" si="0"/>
        <v>3723</v>
      </c>
    </row>
    <row r="33" spans="1:14" x14ac:dyDescent="0.3">
      <c r="A33" t="s">
        <v>697</v>
      </c>
      <c r="B33" t="s">
        <v>629</v>
      </c>
      <c r="C33" t="s">
        <v>635</v>
      </c>
      <c r="D33">
        <v>0</v>
      </c>
      <c r="E33" t="s">
        <v>631</v>
      </c>
      <c r="F33" t="s">
        <v>630</v>
      </c>
      <c r="G33">
        <v>3366</v>
      </c>
      <c r="H33">
        <v>2200</v>
      </c>
      <c r="I33">
        <v>135</v>
      </c>
      <c r="J33">
        <v>360</v>
      </c>
      <c r="K33">
        <v>1</v>
      </c>
      <c r="L33" t="s">
        <v>636</v>
      </c>
      <c r="M33" t="s">
        <v>637</v>
      </c>
      <c r="N33">
        <f t="shared" si="0"/>
        <v>5566</v>
      </c>
    </row>
    <row r="34" spans="1:14" x14ac:dyDescent="0.3">
      <c r="A34" t="s">
        <v>698</v>
      </c>
      <c r="B34" t="s">
        <v>629</v>
      </c>
      <c r="C34" t="s">
        <v>635</v>
      </c>
      <c r="D34">
        <v>1</v>
      </c>
      <c r="E34" t="s">
        <v>631</v>
      </c>
      <c r="F34" t="s">
        <v>630</v>
      </c>
      <c r="G34">
        <v>8080</v>
      </c>
      <c r="H34">
        <v>2250</v>
      </c>
      <c r="I34">
        <v>180</v>
      </c>
      <c r="J34">
        <v>360</v>
      </c>
      <c r="K34">
        <v>1</v>
      </c>
      <c r="L34" t="s">
        <v>632</v>
      </c>
      <c r="M34" t="s">
        <v>633</v>
      </c>
      <c r="N34">
        <f t="shared" si="0"/>
        <v>10330</v>
      </c>
    </row>
    <row r="35" spans="1:14" x14ac:dyDescent="0.3">
      <c r="A35" t="s">
        <v>699</v>
      </c>
      <c r="B35" t="s">
        <v>629</v>
      </c>
      <c r="C35" t="s">
        <v>635</v>
      </c>
      <c r="D35">
        <v>2</v>
      </c>
      <c r="E35" t="s">
        <v>640</v>
      </c>
      <c r="F35" t="s">
        <v>630</v>
      </c>
      <c r="G35">
        <v>3357</v>
      </c>
      <c r="H35">
        <v>2859</v>
      </c>
      <c r="I35">
        <v>144</v>
      </c>
      <c r="J35">
        <v>360</v>
      </c>
      <c r="K35">
        <v>1</v>
      </c>
      <c r="L35" t="s">
        <v>632</v>
      </c>
      <c r="M35" t="s">
        <v>633</v>
      </c>
      <c r="N35">
        <f t="shared" si="0"/>
        <v>6216</v>
      </c>
    </row>
    <row r="36" spans="1:14" x14ac:dyDescent="0.3">
      <c r="A36" t="s">
        <v>700</v>
      </c>
      <c r="B36" t="s">
        <v>629</v>
      </c>
      <c r="C36" t="s">
        <v>635</v>
      </c>
      <c r="D36">
        <v>0</v>
      </c>
      <c r="E36" t="s">
        <v>631</v>
      </c>
      <c r="F36" t="s">
        <v>630</v>
      </c>
      <c r="G36">
        <v>2500</v>
      </c>
      <c r="H36">
        <v>3796</v>
      </c>
      <c r="I36">
        <v>120</v>
      </c>
      <c r="J36">
        <v>360</v>
      </c>
      <c r="K36">
        <v>1</v>
      </c>
      <c r="L36" t="s">
        <v>632</v>
      </c>
      <c r="M36" t="s">
        <v>633</v>
      </c>
      <c r="N36">
        <f t="shared" si="0"/>
        <v>6296</v>
      </c>
    </row>
    <row r="37" spans="1:14" x14ac:dyDescent="0.3">
      <c r="A37" t="s">
        <v>701</v>
      </c>
      <c r="B37" t="s">
        <v>629</v>
      </c>
      <c r="C37" t="s">
        <v>635</v>
      </c>
      <c r="D37" t="s">
        <v>645</v>
      </c>
      <c r="E37" t="s">
        <v>631</v>
      </c>
      <c r="F37" t="s">
        <v>630</v>
      </c>
      <c r="G37">
        <v>3029</v>
      </c>
      <c r="H37">
        <v>0</v>
      </c>
      <c r="I37">
        <v>99</v>
      </c>
      <c r="J37">
        <v>360</v>
      </c>
      <c r="K37">
        <v>1</v>
      </c>
      <c r="L37" t="s">
        <v>632</v>
      </c>
      <c r="M37" t="s">
        <v>633</v>
      </c>
      <c r="N37">
        <f t="shared" si="0"/>
        <v>3029</v>
      </c>
    </row>
    <row r="38" spans="1:14" x14ac:dyDescent="0.3">
      <c r="A38" t="s">
        <v>702</v>
      </c>
      <c r="B38" t="s">
        <v>629</v>
      </c>
      <c r="C38" t="s">
        <v>635</v>
      </c>
      <c r="D38">
        <v>0</v>
      </c>
      <c r="E38" t="s">
        <v>640</v>
      </c>
      <c r="F38" t="s">
        <v>635</v>
      </c>
      <c r="G38">
        <v>2609</v>
      </c>
      <c r="H38">
        <v>3449</v>
      </c>
      <c r="I38">
        <v>165</v>
      </c>
      <c r="J38">
        <v>180</v>
      </c>
      <c r="K38">
        <v>0</v>
      </c>
      <c r="L38" t="s">
        <v>636</v>
      </c>
      <c r="M38" t="s">
        <v>637</v>
      </c>
      <c r="N38">
        <f t="shared" si="0"/>
        <v>6058</v>
      </c>
    </row>
    <row r="39" spans="1:14" x14ac:dyDescent="0.3">
      <c r="A39" t="s">
        <v>704</v>
      </c>
      <c r="B39" t="s">
        <v>657</v>
      </c>
      <c r="C39" t="s">
        <v>630</v>
      </c>
      <c r="D39">
        <v>0</v>
      </c>
      <c r="E39" t="s">
        <v>631</v>
      </c>
      <c r="F39" t="s">
        <v>630</v>
      </c>
      <c r="G39">
        <v>4166</v>
      </c>
      <c r="H39">
        <v>0</v>
      </c>
      <c r="I39">
        <v>116</v>
      </c>
      <c r="J39">
        <v>360</v>
      </c>
      <c r="K39">
        <v>0</v>
      </c>
      <c r="L39" t="s">
        <v>646</v>
      </c>
      <c r="M39" t="s">
        <v>637</v>
      </c>
      <c r="N39">
        <f t="shared" si="0"/>
        <v>4166</v>
      </c>
    </row>
    <row r="40" spans="1:14" x14ac:dyDescent="0.3">
      <c r="A40" t="s">
        <v>705</v>
      </c>
      <c r="B40" t="s">
        <v>629</v>
      </c>
      <c r="C40" t="s">
        <v>635</v>
      </c>
      <c r="D40">
        <v>0</v>
      </c>
      <c r="E40" t="s">
        <v>631</v>
      </c>
      <c r="F40" t="s">
        <v>630</v>
      </c>
      <c r="G40">
        <v>5726</v>
      </c>
      <c r="H40">
        <v>4595</v>
      </c>
      <c r="I40">
        <v>258</v>
      </c>
      <c r="J40">
        <v>360</v>
      </c>
      <c r="K40">
        <v>1</v>
      </c>
      <c r="L40" t="s">
        <v>646</v>
      </c>
      <c r="M40" t="s">
        <v>637</v>
      </c>
      <c r="N40">
        <f t="shared" si="0"/>
        <v>10321</v>
      </c>
    </row>
    <row r="41" spans="1:14" x14ac:dyDescent="0.3">
      <c r="A41" t="s">
        <v>706</v>
      </c>
      <c r="B41" t="s">
        <v>629</v>
      </c>
      <c r="C41" t="s">
        <v>630</v>
      </c>
      <c r="D41">
        <v>0</v>
      </c>
      <c r="E41" t="s">
        <v>640</v>
      </c>
      <c r="F41" t="s">
        <v>630</v>
      </c>
      <c r="G41">
        <v>3200</v>
      </c>
      <c r="H41">
        <v>2254</v>
      </c>
      <c r="I41">
        <v>126</v>
      </c>
      <c r="J41">
        <v>180</v>
      </c>
      <c r="K41">
        <v>0</v>
      </c>
      <c r="L41" t="s">
        <v>632</v>
      </c>
      <c r="M41" t="s">
        <v>637</v>
      </c>
      <c r="N41">
        <f t="shared" si="0"/>
        <v>5454</v>
      </c>
    </row>
    <row r="42" spans="1:14" x14ac:dyDescent="0.3">
      <c r="A42" t="s">
        <v>708</v>
      </c>
      <c r="B42" t="s">
        <v>629</v>
      </c>
      <c r="C42" t="s">
        <v>635</v>
      </c>
      <c r="D42" t="s">
        <v>645</v>
      </c>
      <c r="E42" t="s">
        <v>640</v>
      </c>
      <c r="F42" t="s">
        <v>635</v>
      </c>
      <c r="G42">
        <v>7100</v>
      </c>
      <c r="H42">
        <v>0</v>
      </c>
      <c r="I42">
        <v>125</v>
      </c>
      <c r="J42">
        <v>60</v>
      </c>
      <c r="K42">
        <v>1</v>
      </c>
      <c r="L42" t="s">
        <v>632</v>
      </c>
      <c r="M42" t="s">
        <v>633</v>
      </c>
      <c r="N42">
        <f t="shared" si="0"/>
        <v>7100</v>
      </c>
    </row>
    <row r="43" spans="1:14" x14ac:dyDescent="0.3">
      <c r="A43" t="s">
        <v>709</v>
      </c>
      <c r="B43" t="s">
        <v>657</v>
      </c>
      <c r="C43" t="s">
        <v>630</v>
      </c>
      <c r="D43">
        <v>0</v>
      </c>
      <c r="E43" t="s">
        <v>631</v>
      </c>
      <c r="F43" t="s">
        <v>630</v>
      </c>
      <c r="G43">
        <v>4300</v>
      </c>
      <c r="H43">
        <v>0</v>
      </c>
      <c r="I43">
        <v>136</v>
      </c>
      <c r="J43">
        <v>360</v>
      </c>
      <c r="K43">
        <v>0</v>
      </c>
      <c r="L43" t="s">
        <v>646</v>
      </c>
      <c r="M43" t="s">
        <v>637</v>
      </c>
      <c r="N43">
        <f t="shared" si="0"/>
        <v>4300</v>
      </c>
    </row>
    <row r="44" spans="1:14" x14ac:dyDescent="0.3">
      <c r="A44" t="s">
        <v>710</v>
      </c>
      <c r="B44" t="s">
        <v>629</v>
      </c>
      <c r="C44" t="s">
        <v>635</v>
      </c>
      <c r="D44">
        <v>0</v>
      </c>
      <c r="E44" t="s">
        <v>631</v>
      </c>
      <c r="F44" t="s">
        <v>630</v>
      </c>
      <c r="G44">
        <v>3208</v>
      </c>
      <c r="H44">
        <v>3066</v>
      </c>
      <c r="I44">
        <v>172</v>
      </c>
      <c r="J44">
        <v>360</v>
      </c>
      <c r="K44">
        <v>1</v>
      </c>
      <c r="L44" t="s">
        <v>632</v>
      </c>
      <c r="M44" t="s">
        <v>633</v>
      </c>
      <c r="N44">
        <f t="shared" si="0"/>
        <v>6274</v>
      </c>
    </row>
    <row r="45" spans="1:14" x14ac:dyDescent="0.3">
      <c r="A45" t="s">
        <v>711</v>
      </c>
      <c r="B45" t="s">
        <v>629</v>
      </c>
      <c r="C45" t="s">
        <v>635</v>
      </c>
      <c r="D45">
        <v>2</v>
      </c>
      <c r="E45" t="s">
        <v>640</v>
      </c>
      <c r="F45" t="s">
        <v>635</v>
      </c>
      <c r="G45">
        <v>1875</v>
      </c>
      <c r="H45">
        <v>1875</v>
      </c>
      <c r="I45">
        <v>97</v>
      </c>
      <c r="J45">
        <v>360</v>
      </c>
      <c r="K45">
        <v>1</v>
      </c>
      <c r="L45" t="s">
        <v>646</v>
      </c>
      <c r="M45" t="s">
        <v>633</v>
      </c>
      <c r="N45">
        <f t="shared" si="0"/>
        <v>3750</v>
      </c>
    </row>
    <row r="46" spans="1:14" x14ac:dyDescent="0.3">
      <c r="A46" t="s">
        <v>712</v>
      </c>
      <c r="B46" t="s">
        <v>629</v>
      </c>
      <c r="C46" t="s">
        <v>630</v>
      </c>
      <c r="D46">
        <v>0</v>
      </c>
      <c r="E46" t="s">
        <v>631</v>
      </c>
      <c r="F46" t="s">
        <v>630</v>
      </c>
      <c r="G46">
        <v>3500</v>
      </c>
      <c r="H46">
        <v>0</v>
      </c>
      <c r="I46">
        <v>81</v>
      </c>
      <c r="J46">
        <v>300</v>
      </c>
      <c r="K46">
        <v>1</v>
      </c>
      <c r="L46" t="s">
        <v>646</v>
      </c>
      <c r="M46" t="s">
        <v>633</v>
      </c>
      <c r="N46">
        <f t="shared" si="0"/>
        <v>3500</v>
      </c>
    </row>
    <row r="47" spans="1:14" x14ac:dyDescent="0.3">
      <c r="A47" t="s">
        <v>714</v>
      </c>
      <c r="B47" t="s">
        <v>629</v>
      </c>
      <c r="C47" t="s">
        <v>635</v>
      </c>
      <c r="D47" t="s">
        <v>645</v>
      </c>
      <c r="E47" t="s">
        <v>631</v>
      </c>
      <c r="F47" t="s">
        <v>635</v>
      </c>
      <c r="G47">
        <v>5266</v>
      </c>
      <c r="H47">
        <v>1774</v>
      </c>
      <c r="I47">
        <v>187</v>
      </c>
      <c r="J47">
        <v>360</v>
      </c>
      <c r="K47">
        <v>1</v>
      </c>
      <c r="L47" t="s">
        <v>646</v>
      </c>
      <c r="M47" t="s">
        <v>633</v>
      </c>
      <c r="N47">
        <f t="shared" si="0"/>
        <v>7040</v>
      </c>
    </row>
    <row r="48" spans="1:14" x14ac:dyDescent="0.3">
      <c r="A48" t="s">
        <v>715</v>
      </c>
      <c r="B48" t="s">
        <v>629</v>
      </c>
      <c r="C48" t="s">
        <v>630</v>
      </c>
      <c r="D48">
        <v>0</v>
      </c>
      <c r="E48" t="s">
        <v>631</v>
      </c>
      <c r="F48" t="s">
        <v>630</v>
      </c>
      <c r="G48">
        <v>3750</v>
      </c>
      <c r="H48">
        <v>0</v>
      </c>
      <c r="I48">
        <v>113</v>
      </c>
      <c r="J48">
        <v>480</v>
      </c>
      <c r="K48">
        <v>1</v>
      </c>
      <c r="L48" t="s">
        <v>632</v>
      </c>
      <c r="M48" t="s">
        <v>637</v>
      </c>
      <c r="N48">
        <f t="shared" si="0"/>
        <v>3750</v>
      </c>
    </row>
    <row r="49" spans="1:14" x14ac:dyDescent="0.3">
      <c r="A49" t="s">
        <v>716</v>
      </c>
      <c r="B49" t="s">
        <v>629</v>
      </c>
      <c r="C49" t="s">
        <v>630</v>
      </c>
      <c r="D49">
        <v>0</v>
      </c>
      <c r="E49" t="s">
        <v>631</v>
      </c>
      <c r="F49" t="s">
        <v>630</v>
      </c>
      <c r="G49">
        <v>3750</v>
      </c>
      <c r="H49">
        <v>4750</v>
      </c>
      <c r="I49">
        <v>176</v>
      </c>
      <c r="J49">
        <v>360</v>
      </c>
      <c r="K49">
        <v>1</v>
      </c>
      <c r="L49" t="s">
        <v>632</v>
      </c>
      <c r="M49" t="s">
        <v>637</v>
      </c>
      <c r="N49">
        <f t="shared" si="0"/>
        <v>8500</v>
      </c>
    </row>
    <row r="50" spans="1:14" x14ac:dyDescent="0.3">
      <c r="A50" t="s">
        <v>717</v>
      </c>
      <c r="B50" t="s">
        <v>629</v>
      </c>
      <c r="C50" t="s">
        <v>635</v>
      </c>
      <c r="D50">
        <v>1</v>
      </c>
      <c r="E50" t="s">
        <v>631</v>
      </c>
      <c r="F50" t="s">
        <v>635</v>
      </c>
      <c r="G50">
        <v>1000</v>
      </c>
      <c r="H50">
        <v>3022</v>
      </c>
      <c r="I50">
        <v>110</v>
      </c>
      <c r="J50">
        <v>360</v>
      </c>
      <c r="K50">
        <v>1</v>
      </c>
      <c r="L50" t="s">
        <v>632</v>
      </c>
      <c r="M50" t="s">
        <v>637</v>
      </c>
      <c r="N50">
        <f t="shared" si="0"/>
        <v>4022</v>
      </c>
    </row>
    <row r="51" spans="1:14" x14ac:dyDescent="0.3">
      <c r="A51" t="s">
        <v>718</v>
      </c>
      <c r="B51" t="s">
        <v>629</v>
      </c>
      <c r="C51" t="s">
        <v>635</v>
      </c>
      <c r="D51" t="s">
        <v>645</v>
      </c>
      <c r="E51" t="s">
        <v>631</v>
      </c>
      <c r="F51" t="s">
        <v>630</v>
      </c>
      <c r="G51">
        <v>3167</v>
      </c>
      <c r="H51">
        <v>4000</v>
      </c>
      <c r="I51">
        <v>180</v>
      </c>
      <c r="J51">
        <v>300</v>
      </c>
      <c r="K51">
        <v>0</v>
      </c>
      <c r="L51" t="s">
        <v>646</v>
      </c>
      <c r="M51" t="s">
        <v>637</v>
      </c>
      <c r="N51">
        <f t="shared" si="0"/>
        <v>7167</v>
      </c>
    </row>
    <row r="52" spans="1:14" x14ac:dyDescent="0.3">
      <c r="A52" t="s">
        <v>720</v>
      </c>
      <c r="B52" t="s">
        <v>657</v>
      </c>
      <c r="C52" t="s">
        <v>630</v>
      </c>
      <c r="D52">
        <v>0</v>
      </c>
      <c r="E52" t="s">
        <v>631</v>
      </c>
      <c r="F52" t="s">
        <v>630</v>
      </c>
      <c r="G52">
        <v>3846</v>
      </c>
      <c r="H52">
        <v>0</v>
      </c>
      <c r="I52">
        <v>111</v>
      </c>
      <c r="J52">
        <v>360</v>
      </c>
      <c r="K52">
        <v>1</v>
      </c>
      <c r="L52" t="s">
        <v>646</v>
      </c>
      <c r="M52" t="s">
        <v>633</v>
      </c>
      <c r="N52">
        <f t="shared" si="0"/>
        <v>3846</v>
      </c>
    </row>
    <row r="53" spans="1:14" x14ac:dyDescent="0.3">
      <c r="A53" t="s">
        <v>722</v>
      </c>
      <c r="B53" t="s">
        <v>657</v>
      </c>
      <c r="C53" t="s">
        <v>635</v>
      </c>
      <c r="D53">
        <v>2</v>
      </c>
      <c r="E53" t="s">
        <v>631</v>
      </c>
      <c r="F53" t="s">
        <v>630</v>
      </c>
      <c r="G53">
        <v>1378</v>
      </c>
      <c r="H53">
        <v>1881</v>
      </c>
      <c r="I53">
        <v>167</v>
      </c>
      <c r="J53">
        <v>360</v>
      </c>
      <c r="K53">
        <v>1</v>
      </c>
      <c r="L53" t="s">
        <v>632</v>
      </c>
      <c r="M53" t="s">
        <v>637</v>
      </c>
      <c r="N53">
        <f t="shared" si="0"/>
        <v>3259</v>
      </c>
    </row>
    <row r="54" spans="1:14" x14ac:dyDescent="0.3">
      <c r="A54" t="s">
        <v>724</v>
      </c>
      <c r="B54" t="s">
        <v>629</v>
      </c>
      <c r="C54" t="s">
        <v>635</v>
      </c>
      <c r="D54">
        <v>1</v>
      </c>
      <c r="E54" t="s">
        <v>631</v>
      </c>
      <c r="F54" t="s">
        <v>630</v>
      </c>
      <c r="G54">
        <v>3988</v>
      </c>
      <c r="H54">
        <v>0</v>
      </c>
      <c r="I54">
        <v>50</v>
      </c>
      <c r="J54">
        <v>240</v>
      </c>
      <c r="K54">
        <v>1</v>
      </c>
      <c r="L54" t="s">
        <v>632</v>
      </c>
      <c r="M54" t="s">
        <v>633</v>
      </c>
      <c r="N54">
        <f t="shared" si="0"/>
        <v>3988</v>
      </c>
    </row>
    <row r="55" spans="1:14" x14ac:dyDescent="0.3">
      <c r="A55" t="s">
        <v>725</v>
      </c>
      <c r="B55" t="s">
        <v>629</v>
      </c>
      <c r="C55" t="s">
        <v>630</v>
      </c>
      <c r="D55">
        <v>0</v>
      </c>
      <c r="E55" t="s">
        <v>631</v>
      </c>
      <c r="F55" t="s">
        <v>630</v>
      </c>
      <c r="G55">
        <v>2366</v>
      </c>
      <c r="H55">
        <v>2531</v>
      </c>
      <c r="I55">
        <v>136</v>
      </c>
      <c r="J55">
        <v>360</v>
      </c>
      <c r="K55">
        <v>1</v>
      </c>
      <c r="L55" t="s">
        <v>646</v>
      </c>
      <c r="M55" t="s">
        <v>633</v>
      </c>
      <c r="N55">
        <f t="shared" si="0"/>
        <v>4897</v>
      </c>
    </row>
    <row r="56" spans="1:14" x14ac:dyDescent="0.3">
      <c r="A56" t="s">
        <v>727</v>
      </c>
      <c r="B56" t="s">
        <v>629</v>
      </c>
      <c r="C56" t="s">
        <v>635</v>
      </c>
      <c r="D56">
        <v>0</v>
      </c>
      <c r="E56" t="s">
        <v>631</v>
      </c>
      <c r="F56" t="s">
        <v>630</v>
      </c>
      <c r="G56">
        <v>2500</v>
      </c>
      <c r="H56">
        <v>2118</v>
      </c>
      <c r="I56">
        <v>104</v>
      </c>
      <c r="J56">
        <v>360</v>
      </c>
      <c r="K56">
        <v>1</v>
      </c>
      <c r="L56" t="s">
        <v>646</v>
      </c>
      <c r="M56" t="s">
        <v>633</v>
      </c>
      <c r="N56">
        <f t="shared" si="0"/>
        <v>4618</v>
      </c>
    </row>
    <row r="57" spans="1:14" x14ac:dyDescent="0.3">
      <c r="A57" t="s">
        <v>728</v>
      </c>
      <c r="B57" t="s">
        <v>629</v>
      </c>
      <c r="C57" t="s">
        <v>630</v>
      </c>
      <c r="D57">
        <v>0</v>
      </c>
      <c r="E57" t="s">
        <v>631</v>
      </c>
      <c r="F57" t="s">
        <v>630</v>
      </c>
      <c r="G57">
        <v>8566</v>
      </c>
      <c r="H57">
        <v>0</v>
      </c>
      <c r="I57">
        <v>210</v>
      </c>
      <c r="J57">
        <v>360</v>
      </c>
      <c r="K57">
        <v>1</v>
      </c>
      <c r="L57" t="s">
        <v>632</v>
      </c>
      <c r="M57" t="s">
        <v>633</v>
      </c>
      <c r="N57">
        <f t="shared" si="0"/>
        <v>8566</v>
      </c>
    </row>
    <row r="58" spans="1:14" x14ac:dyDescent="0.3">
      <c r="A58" t="s">
        <v>729</v>
      </c>
      <c r="B58" t="s">
        <v>629</v>
      </c>
      <c r="C58" t="s">
        <v>635</v>
      </c>
      <c r="D58">
        <v>0</v>
      </c>
      <c r="E58" t="s">
        <v>631</v>
      </c>
      <c r="F58" t="s">
        <v>630</v>
      </c>
      <c r="G58">
        <v>5695</v>
      </c>
      <c r="H58">
        <v>4167</v>
      </c>
      <c r="I58">
        <v>175</v>
      </c>
      <c r="J58">
        <v>360</v>
      </c>
      <c r="K58">
        <v>1</v>
      </c>
      <c r="L58" t="s">
        <v>646</v>
      </c>
      <c r="M58" t="s">
        <v>633</v>
      </c>
      <c r="N58">
        <f t="shared" si="0"/>
        <v>9862</v>
      </c>
    </row>
    <row r="59" spans="1:14" x14ac:dyDescent="0.3">
      <c r="A59" t="s">
        <v>730</v>
      </c>
      <c r="B59" t="s">
        <v>629</v>
      </c>
      <c r="C59" t="s">
        <v>635</v>
      </c>
      <c r="D59">
        <v>0</v>
      </c>
      <c r="E59" t="s">
        <v>631</v>
      </c>
      <c r="F59" t="s">
        <v>630</v>
      </c>
      <c r="G59">
        <v>2958</v>
      </c>
      <c r="H59">
        <v>2900</v>
      </c>
      <c r="I59">
        <v>131</v>
      </c>
      <c r="J59">
        <v>360</v>
      </c>
      <c r="K59">
        <v>1</v>
      </c>
      <c r="L59" t="s">
        <v>646</v>
      </c>
      <c r="M59" t="s">
        <v>633</v>
      </c>
      <c r="N59">
        <f t="shared" si="0"/>
        <v>5858</v>
      </c>
    </row>
    <row r="60" spans="1:14" x14ac:dyDescent="0.3">
      <c r="A60" t="s">
        <v>731</v>
      </c>
      <c r="B60" t="s">
        <v>629</v>
      </c>
      <c r="C60" t="s">
        <v>635</v>
      </c>
      <c r="D60">
        <v>2</v>
      </c>
      <c r="E60" t="s">
        <v>631</v>
      </c>
      <c r="F60" t="s">
        <v>630</v>
      </c>
      <c r="G60">
        <v>6250</v>
      </c>
      <c r="H60">
        <v>5654</v>
      </c>
      <c r="I60">
        <v>188</v>
      </c>
      <c r="J60">
        <v>180</v>
      </c>
      <c r="K60">
        <v>1</v>
      </c>
      <c r="L60" t="s">
        <v>646</v>
      </c>
      <c r="M60" t="s">
        <v>633</v>
      </c>
      <c r="N60">
        <f t="shared" si="0"/>
        <v>11904</v>
      </c>
    </row>
    <row r="61" spans="1:14" x14ac:dyDescent="0.3">
      <c r="A61" t="s">
        <v>732</v>
      </c>
      <c r="B61" t="s">
        <v>629</v>
      </c>
      <c r="C61" t="s">
        <v>635</v>
      </c>
      <c r="D61">
        <v>2</v>
      </c>
      <c r="E61" t="s">
        <v>640</v>
      </c>
      <c r="F61" t="s">
        <v>630</v>
      </c>
      <c r="G61">
        <v>3273</v>
      </c>
      <c r="H61">
        <v>1820</v>
      </c>
      <c r="I61">
        <v>81</v>
      </c>
      <c r="J61">
        <v>360</v>
      </c>
      <c r="K61">
        <v>1</v>
      </c>
      <c r="L61" t="s">
        <v>632</v>
      </c>
      <c r="M61" t="s">
        <v>633</v>
      </c>
      <c r="N61">
        <f t="shared" si="0"/>
        <v>5093</v>
      </c>
    </row>
    <row r="62" spans="1:14" x14ac:dyDescent="0.3">
      <c r="A62" t="s">
        <v>733</v>
      </c>
      <c r="B62" t="s">
        <v>629</v>
      </c>
      <c r="C62" t="s">
        <v>630</v>
      </c>
      <c r="D62">
        <v>0</v>
      </c>
      <c r="E62" t="s">
        <v>631</v>
      </c>
      <c r="F62" t="s">
        <v>630</v>
      </c>
      <c r="G62">
        <v>4133</v>
      </c>
      <c r="H62">
        <v>0</v>
      </c>
      <c r="I62">
        <v>122</v>
      </c>
      <c r="J62">
        <v>360</v>
      </c>
      <c r="K62">
        <v>1</v>
      </c>
      <c r="L62" t="s">
        <v>646</v>
      </c>
      <c r="M62" t="s">
        <v>633</v>
      </c>
      <c r="N62">
        <f t="shared" si="0"/>
        <v>4133</v>
      </c>
    </row>
    <row r="63" spans="1:14" x14ac:dyDescent="0.3">
      <c r="A63" t="s">
        <v>734</v>
      </c>
      <c r="B63" t="s">
        <v>629</v>
      </c>
      <c r="C63" t="s">
        <v>630</v>
      </c>
      <c r="D63">
        <v>0</v>
      </c>
      <c r="E63" t="s">
        <v>640</v>
      </c>
      <c r="F63" t="s">
        <v>630</v>
      </c>
      <c r="G63">
        <v>3620</v>
      </c>
      <c r="H63">
        <v>0</v>
      </c>
      <c r="I63">
        <v>25</v>
      </c>
      <c r="J63">
        <v>120</v>
      </c>
      <c r="K63">
        <v>1</v>
      </c>
      <c r="L63" t="s">
        <v>646</v>
      </c>
      <c r="M63" t="s">
        <v>633</v>
      </c>
      <c r="N63">
        <f t="shared" si="0"/>
        <v>3620</v>
      </c>
    </row>
    <row r="64" spans="1:14" x14ac:dyDescent="0.3">
      <c r="A64" t="s">
        <v>736</v>
      </c>
      <c r="B64" t="s">
        <v>657</v>
      </c>
      <c r="C64" t="s">
        <v>635</v>
      </c>
      <c r="D64">
        <v>0</v>
      </c>
      <c r="E64" t="s">
        <v>631</v>
      </c>
      <c r="F64" t="s">
        <v>630</v>
      </c>
      <c r="G64">
        <v>2484</v>
      </c>
      <c r="H64">
        <v>2302</v>
      </c>
      <c r="I64">
        <v>137</v>
      </c>
      <c r="J64">
        <v>360</v>
      </c>
      <c r="K64">
        <v>1</v>
      </c>
      <c r="L64" t="s">
        <v>646</v>
      </c>
      <c r="M64" t="s">
        <v>633</v>
      </c>
      <c r="N64">
        <f t="shared" si="0"/>
        <v>4786</v>
      </c>
    </row>
    <row r="65" spans="1:14" x14ac:dyDescent="0.3">
      <c r="A65" t="s">
        <v>737</v>
      </c>
      <c r="B65" t="s">
        <v>629</v>
      </c>
      <c r="C65" t="s">
        <v>635</v>
      </c>
      <c r="D65">
        <v>0</v>
      </c>
      <c r="E65" t="s">
        <v>631</v>
      </c>
      <c r="F65" t="s">
        <v>630</v>
      </c>
      <c r="G65">
        <v>1977</v>
      </c>
      <c r="H65">
        <v>997</v>
      </c>
      <c r="I65">
        <v>50</v>
      </c>
      <c r="J65">
        <v>360</v>
      </c>
      <c r="K65">
        <v>1</v>
      </c>
      <c r="L65" t="s">
        <v>646</v>
      </c>
      <c r="M65" t="s">
        <v>633</v>
      </c>
      <c r="N65">
        <f t="shared" si="0"/>
        <v>2974</v>
      </c>
    </row>
    <row r="66" spans="1:14" x14ac:dyDescent="0.3">
      <c r="A66" t="s">
        <v>738</v>
      </c>
      <c r="B66" t="s">
        <v>629</v>
      </c>
      <c r="C66" t="s">
        <v>635</v>
      </c>
      <c r="D66">
        <v>0</v>
      </c>
      <c r="E66" t="s">
        <v>640</v>
      </c>
      <c r="F66" t="s">
        <v>630</v>
      </c>
      <c r="G66">
        <v>4188</v>
      </c>
      <c r="H66">
        <v>0</v>
      </c>
      <c r="I66">
        <v>115</v>
      </c>
      <c r="J66">
        <v>180</v>
      </c>
      <c r="K66">
        <v>1</v>
      </c>
      <c r="L66" t="s">
        <v>646</v>
      </c>
      <c r="M66" t="s">
        <v>633</v>
      </c>
      <c r="N66">
        <f t="shared" si="0"/>
        <v>4188</v>
      </c>
    </row>
    <row r="67" spans="1:14" x14ac:dyDescent="0.3">
      <c r="A67" t="s">
        <v>739</v>
      </c>
      <c r="B67" t="s">
        <v>629</v>
      </c>
      <c r="C67" t="s">
        <v>635</v>
      </c>
      <c r="D67">
        <v>0</v>
      </c>
      <c r="E67" t="s">
        <v>631</v>
      </c>
      <c r="F67" t="s">
        <v>630</v>
      </c>
      <c r="G67">
        <v>1759</v>
      </c>
      <c r="H67">
        <v>3541</v>
      </c>
      <c r="I67">
        <v>131</v>
      </c>
      <c r="J67">
        <v>360</v>
      </c>
      <c r="K67">
        <v>1</v>
      </c>
      <c r="L67" t="s">
        <v>646</v>
      </c>
      <c r="M67" t="s">
        <v>633</v>
      </c>
      <c r="N67">
        <f t="shared" ref="N67:N130" si="4">G67+H67</f>
        <v>5300</v>
      </c>
    </row>
    <row r="68" spans="1:14" x14ac:dyDescent="0.3">
      <c r="A68" t="s">
        <v>740</v>
      </c>
      <c r="B68" t="s">
        <v>629</v>
      </c>
      <c r="C68" t="s">
        <v>635</v>
      </c>
      <c r="D68">
        <v>2</v>
      </c>
      <c r="E68" t="s">
        <v>640</v>
      </c>
      <c r="F68" t="s">
        <v>630</v>
      </c>
      <c r="G68">
        <v>4288</v>
      </c>
      <c r="H68">
        <v>3263</v>
      </c>
      <c r="I68">
        <v>133</v>
      </c>
      <c r="J68">
        <v>180</v>
      </c>
      <c r="K68">
        <v>1</v>
      </c>
      <c r="L68" t="s">
        <v>632</v>
      </c>
      <c r="M68" t="s">
        <v>633</v>
      </c>
      <c r="N68">
        <f t="shared" si="4"/>
        <v>7551</v>
      </c>
    </row>
    <row r="69" spans="1:14" x14ac:dyDescent="0.3">
      <c r="A69" t="s">
        <v>741</v>
      </c>
      <c r="B69" t="s">
        <v>629</v>
      </c>
      <c r="C69" t="s">
        <v>630</v>
      </c>
      <c r="D69">
        <v>0</v>
      </c>
      <c r="E69" t="s">
        <v>631</v>
      </c>
      <c r="F69" t="s">
        <v>630</v>
      </c>
      <c r="G69">
        <v>4843</v>
      </c>
      <c r="H69">
        <v>3806</v>
      </c>
      <c r="I69">
        <v>151</v>
      </c>
      <c r="J69">
        <v>360</v>
      </c>
      <c r="K69">
        <v>1</v>
      </c>
      <c r="L69" t="s">
        <v>646</v>
      </c>
      <c r="M69" t="s">
        <v>633</v>
      </c>
      <c r="N69">
        <f t="shared" si="4"/>
        <v>8649</v>
      </c>
    </row>
    <row r="70" spans="1:14" x14ac:dyDescent="0.3">
      <c r="A70" t="s">
        <v>745</v>
      </c>
      <c r="B70" t="s">
        <v>629</v>
      </c>
      <c r="C70" t="s">
        <v>635</v>
      </c>
      <c r="D70">
        <v>1</v>
      </c>
      <c r="E70" t="s">
        <v>631</v>
      </c>
      <c r="F70" t="s">
        <v>630</v>
      </c>
      <c r="G70">
        <v>3052</v>
      </c>
      <c r="H70">
        <v>1030</v>
      </c>
      <c r="I70">
        <v>100</v>
      </c>
      <c r="J70">
        <v>360</v>
      </c>
      <c r="K70">
        <v>1</v>
      </c>
      <c r="L70" t="s">
        <v>632</v>
      </c>
      <c r="M70" t="s">
        <v>633</v>
      </c>
      <c r="N70">
        <f t="shared" si="4"/>
        <v>4082</v>
      </c>
    </row>
    <row r="71" spans="1:14" x14ac:dyDescent="0.3">
      <c r="A71" t="s">
        <v>746</v>
      </c>
      <c r="B71" t="s">
        <v>629</v>
      </c>
      <c r="C71" t="s">
        <v>635</v>
      </c>
      <c r="D71">
        <v>2</v>
      </c>
      <c r="E71" t="s">
        <v>631</v>
      </c>
      <c r="F71" t="s">
        <v>630</v>
      </c>
      <c r="G71">
        <v>11417</v>
      </c>
      <c r="H71">
        <v>1126</v>
      </c>
      <c r="I71">
        <v>225</v>
      </c>
      <c r="J71">
        <v>360</v>
      </c>
      <c r="K71">
        <v>1</v>
      </c>
      <c r="L71" t="s">
        <v>632</v>
      </c>
      <c r="M71" t="s">
        <v>633</v>
      </c>
      <c r="N71">
        <f t="shared" si="4"/>
        <v>12543</v>
      </c>
    </row>
    <row r="72" spans="1:14" x14ac:dyDescent="0.3">
      <c r="A72" t="s">
        <v>748</v>
      </c>
      <c r="B72" t="s">
        <v>629</v>
      </c>
      <c r="C72" t="s">
        <v>635</v>
      </c>
      <c r="D72">
        <v>2</v>
      </c>
      <c r="E72" t="s">
        <v>631</v>
      </c>
      <c r="F72" t="s">
        <v>630</v>
      </c>
      <c r="G72">
        <v>3800</v>
      </c>
      <c r="H72">
        <v>3600</v>
      </c>
      <c r="I72">
        <v>216</v>
      </c>
      <c r="J72">
        <v>360</v>
      </c>
      <c r="K72">
        <v>0</v>
      </c>
      <c r="L72" t="s">
        <v>632</v>
      </c>
      <c r="M72" t="s">
        <v>637</v>
      </c>
      <c r="N72">
        <f t="shared" si="4"/>
        <v>7400</v>
      </c>
    </row>
    <row r="73" spans="1:14" x14ac:dyDescent="0.3">
      <c r="A73" t="s">
        <v>749</v>
      </c>
      <c r="B73" t="s">
        <v>629</v>
      </c>
      <c r="C73" t="s">
        <v>635</v>
      </c>
      <c r="D73" t="s">
        <v>645</v>
      </c>
      <c r="E73" t="s">
        <v>640</v>
      </c>
      <c r="F73" t="s">
        <v>630</v>
      </c>
      <c r="G73">
        <v>2071</v>
      </c>
      <c r="H73">
        <v>754</v>
      </c>
      <c r="I73">
        <v>94</v>
      </c>
      <c r="J73">
        <v>480</v>
      </c>
      <c r="K73">
        <v>1</v>
      </c>
      <c r="L73" t="s">
        <v>646</v>
      </c>
      <c r="M73" t="s">
        <v>633</v>
      </c>
      <c r="N73">
        <f t="shared" si="4"/>
        <v>2825</v>
      </c>
    </row>
    <row r="74" spans="1:14" x14ac:dyDescent="0.3">
      <c r="A74" t="s">
        <v>750</v>
      </c>
      <c r="B74" t="s">
        <v>629</v>
      </c>
      <c r="C74" t="s">
        <v>630</v>
      </c>
      <c r="D74">
        <v>0</v>
      </c>
      <c r="E74" t="s">
        <v>631</v>
      </c>
      <c r="F74" t="s">
        <v>630</v>
      </c>
      <c r="G74">
        <v>5316</v>
      </c>
      <c r="H74">
        <v>0</v>
      </c>
      <c r="I74">
        <v>136</v>
      </c>
      <c r="J74">
        <v>360</v>
      </c>
      <c r="K74">
        <v>1</v>
      </c>
      <c r="L74" t="s">
        <v>632</v>
      </c>
      <c r="M74" t="s">
        <v>633</v>
      </c>
      <c r="N74">
        <f t="shared" si="4"/>
        <v>5316</v>
      </c>
    </row>
    <row r="75" spans="1:14" x14ac:dyDescent="0.3">
      <c r="A75" t="s">
        <v>755</v>
      </c>
      <c r="B75" t="s">
        <v>629</v>
      </c>
      <c r="C75" t="s">
        <v>635</v>
      </c>
      <c r="D75">
        <v>1</v>
      </c>
      <c r="E75" t="s">
        <v>631</v>
      </c>
      <c r="F75" t="s">
        <v>630</v>
      </c>
      <c r="G75">
        <v>14583</v>
      </c>
      <c r="H75">
        <v>0</v>
      </c>
      <c r="I75">
        <v>185</v>
      </c>
      <c r="J75">
        <v>180</v>
      </c>
      <c r="K75">
        <v>1</v>
      </c>
      <c r="L75" t="s">
        <v>636</v>
      </c>
      <c r="M75" t="s">
        <v>633</v>
      </c>
      <c r="N75">
        <f t="shared" si="4"/>
        <v>14583</v>
      </c>
    </row>
    <row r="76" spans="1:14" x14ac:dyDescent="0.3">
      <c r="A76" t="s">
        <v>756</v>
      </c>
      <c r="B76" t="s">
        <v>657</v>
      </c>
      <c r="C76" t="s">
        <v>635</v>
      </c>
      <c r="D76">
        <v>0</v>
      </c>
      <c r="E76" t="s">
        <v>631</v>
      </c>
      <c r="F76" t="s">
        <v>630</v>
      </c>
      <c r="G76">
        <v>3167</v>
      </c>
      <c r="H76">
        <v>2283</v>
      </c>
      <c r="I76">
        <v>154</v>
      </c>
      <c r="J76">
        <v>360</v>
      </c>
      <c r="K76">
        <v>1</v>
      </c>
      <c r="L76" t="s">
        <v>646</v>
      </c>
      <c r="M76" t="s">
        <v>633</v>
      </c>
      <c r="N76">
        <f t="shared" si="4"/>
        <v>5450</v>
      </c>
    </row>
    <row r="77" spans="1:14" x14ac:dyDescent="0.3">
      <c r="A77" t="s">
        <v>758</v>
      </c>
      <c r="B77" t="s">
        <v>629</v>
      </c>
      <c r="C77" t="s">
        <v>635</v>
      </c>
      <c r="D77">
        <v>0</v>
      </c>
      <c r="E77" t="s">
        <v>631</v>
      </c>
      <c r="F77" t="s">
        <v>630</v>
      </c>
      <c r="G77">
        <v>5568</v>
      </c>
      <c r="H77">
        <v>2142</v>
      </c>
      <c r="I77">
        <v>175</v>
      </c>
      <c r="J77">
        <v>360</v>
      </c>
      <c r="K77">
        <v>1</v>
      </c>
      <c r="L77" t="s">
        <v>636</v>
      </c>
      <c r="M77" t="s">
        <v>637</v>
      </c>
      <c r="N77">
        <f t="shared" si="4"/>
        <v>7710</v>
      </c>
    </row>
    <row r="78" spans="1:14" x14ac:dyDescent="0.3">
      <c r="A78" t="s">
        <v>759</v>
      </c>
      <c r="B78" t="s">
        <v>657</v>
      </c>
      <c r="C78" t="s">
        <v>630</v>
      </c>
      <c r="D78">
        <v>0</v>
      </c>
      <c r="E78" t="s">
        <v>631</v>
      </c>
      <c r="F78" t="s">
        <v>630</v>
      </c>
      <c r="G78">
        <v>10408</v>
      </c>
      <c r="H78">
        <v>0</v>
      </c>
      <c r="I78">
        <v>259</v>
      </c>
      <c r="J78">
        <v>360</v>
      </c>
      <c r="K78">
        <v>1</v>
      </c>
      <c r="L78" t="s">
        <v>632</v>
      </c>
      <c r="M78" t="s">
        <v>633</v>
      </c>
      <c r="N78">
        <f t="shared" si="4"/>
        <v>10408</v>
      </c>
    </row>
    <row r="79" spans="1:14" x14ac:dyDescent="0.3">
      <c r="A79" t="s">
        <v>761</v>
      </c>
      <c r="B79" t="s">
        <v>657</v>
      </c>
      <c r="C79" t="s">
        <v>630</v>
      </c>
      <c r="D79">
        <v>0</v>
      </c>
      <c r="E79" t="s">
        <v>631</v>
      </c>
      <c r="F79" t="s">
        <v>630</v>
      </c>
      <c r="G79">
        <v>4166</v>
      </c>
      <c r="H79">
        <v>0</v>
      </c>
      <c r="I79">
        <v>44</v>
      </c>
      <c r="J79">
        <v>360</v>
      </c>
      <c r="K79">
        <v>1</v>
      </c>
      <c r="L79" t="s">
        <v>646</v>
      </c>
      <c r="M79" t="s">
        <v>633</v>
      </c>
      <c r="N79">
        <f t="shared" si="4"/>
        <v>4166</v>
      </c>
    </row>
    <row r="80" spans="1:14" x14ac:dyDescent="0.3">
      <c r="A80" t="s">
        <v>762</v>
      </c>
      <c r="B80" t="s">
        <v>657</v>
      </c>
      <c r="C80" t="s">
        <v>630</v>
      </c>
      <c r="D80">
        <v>0</v>
      </c>
      <c r="E80" t="s">
        <v>631</v>
      </c>
      <c r="F80" t="s">
        <v>630</v>
      </c>
      <c r="G80">
        <v>2137</v>
      </c>
      <c r="H80">
        <v>8980</v>
      </c>
      <c r="I80">
        <v>137</v>
      </c>
      <c r="J80">
        <v>360</v>
      </c>
      <c r="K80">
        <v>0</v>
      </c>
      <c r="L80" t="s">
        <v>646</v>
      </c>
      <c r="M80" t="s">
        <v>633</v>
      </c>
      <c r="N80">
        <f t="shared" si="4"/>
        <v>11117</v>
      </c>
    </row>
    <row r="81" spans="1:14" x14ac:dyDescent="0.3">
      <c r="A81" t="s">
        <v>763</v>
      </c>
      <c r="B81" t="s">
        <v>629</v>
      </c>
      <c r="C81" t="s">
        <v>635</v>
      </c>
      <c r="D81">
        <v>2</v>
      </c>
      <c r="E81" t="s">
        <v>631</v>
      </c>
      <c r="F81" t="s">
        <v>630</v>
      </c>
      <c r="G81">
        <v>2957</v>
      </c>
      <c r="H81">
        <v>0</v>
      </c>
      <c r="I81">
        <v>81</v>
      </c>
      <c r="J81">
        <v>360</v>
      </c>
      <c r="K81">
        <v>1</v>
      </c>
      <c r="L81" t="s">
        <v>646</v>
      </c>
      <c r="M81" t="s">
        <v>633</v>
      </c>
      <c r="N81">
        <f t="shared" si="4"/>
        <v>2957</v>
      </c>
    </row>
    <row r="82" spans="1:14" x14ac:dyDescent="0.3">
      <c r="A82" t="s">
        <v>764</v>
      </c>
      <c r="B82" t="s">
        <v>629</v>
      </c>
      <c r="C82" t="s">
        <v>635</v>
      </c>
      <c r="D82">
        <v>0</v>
      </c>
      <c r="E82" t="s">
        <v>640</v>
      </c>
      <c r="F82" t="s">
        <v>630</v>
      </c>
      <c r="G82">
        <v>4300</v>
      </c>
      <c r="H82">
        <v>2014</v>
      </c>
      <c r="I82">
        <v>194</v>
      </c>
      <c r="J82">
        <v>360</v>
      </c>
      <c r="K82">
        <v>1</v>
      </c>
      <c r="L82" t="s">
        <v>636</v>
      </c>
      <c r="M82" t="s">
        <v>633</v>
      </c>
      <c r="N82">
        <f t="shared" si="4"/>
        <v>6314</v>
      </c>
    </row>
    <row r="83" spans="1:14" x14ac:dyDescent="0.3">
      <c r="A83" t="s">
        <v>768</v>
      </c>
      <c r="B83" t="s">
        <v>629</v>
      </c>
      <c r="C83" t="s">
        <v>635</v>
      </c>
      <c r="D83">
        <v>1</v>
      </c>
      <c r="E83" t="s">
        <v>631</v>
      </c>
      <c r="F83" t="s">
        <v>635</v>
      </c>
      <c r="G83">
        <v>10513</v>
      </c>
      <c r="H83">
        <v>3850</v>
      </c>
      <c r="I83">
        <v>160</v>
      </c>
      <c r="J83">
        <v>180</v>
      </c>
      <c r="K83">
        <v>0</v>
      </c>
      <c r="L83" t="s">
        <v>632</v>
      </c>
      <c r="M83" t="s">
        <v>637</v>
      </c>
      <c r="N83">
        <f t="shared" si="4"/>
        <v>14363</v>
      </c>
    </row>
    <row r="84" spans="1:14" x14ac:dyDescent="0.3">
      <c r="A84" t="s">
        <v>771</v>
      </c>
      <c r="B84" t="s">
        <v>629</v>
      </c>
      <c r="C84" t="s">
        <v>630</v>
      </c>
      <c r="D84">
        <v>0</v>
      </c>
      <c r="E84" t="s">
        <v>631</v>
      </c>
      <c r="F84" t="s">
        <v>630</v>
      </c>
      <c r="G84">
        <v>2014</v>
      </c>
      <c r="H84">
        <v>1929</v>
      </c>
      <c r="I84">
        <v>74</v>
      </c>
      <c r="J84">
        <v>360</v>
      </c>
      <c r="K84">
        <v>1</v>
      </c>
      <c r="L84" t="s">
        <v>632</v>
      </c>
      <c r="M84" t="s">
        <v>633</v>
      </c>
      <c r="N84">
        <f t="shared" si="4"/>
        <v>3943</v>
      </c>
    </row>
    <row r="85" spans="1:14" x14ac:dyDescent="0.3">
      <c r="A85" t="s">
        <v>772</v>
      </c>
      <c r="B85" t="s">
        <v>629</v>
      </c>
      <c r="C85" t="s">
        <v>630</v>
      </c>
      <c r="D85">
        <v>0</v>
      </c>
      <c r="E85" t="s">
        <v>631</v>
      </c>
      <c r="F85" t="s">
        <v>630</v>
      </c>
      <c r="G85">
        <v>2718</v>
      </c>
      <c r="H85">
        <v>0</v>
      </c>
      <c r="I85">
        <v>70</v>
      </c>
      <c r="J85">
        <v>360</v>
      </c>
      <c r="K85">
        <v>1</v>
      </c>
      <c r="L85" t="s">
        <v>646</v>
      </c>
      <c r="M85" t="s">
        <v>633</v>
      </c>
      <c r="N85">
        <f t="shared" si="4"/>
        <v>2718</v>
      </c>
    </row>
    <row r="86" spans="1:14" x14ac:dyDescent="0.3">
      <c r="A86" t="s">
        <v>773</v>
      </c>
      <c r="B86" t="s">
        <v>629</v>
      </c>
      <c r="C86" t="s">
        <v>635</v>
      </c>
      <c r="D86">
        <v>0</v>
      </c>
      <c r="E86" t="s">
        <v>631</v>
      </c>
      <c r="F86" t="s">
        <v>635</v>
      </c>
      <c r="G86">
        <v>3459</v>
      </c>
      <c r="H86">
        <v>0</v>
      </c>
      <c r="I86">
        <v>25</v>
      </c>
      <c r="J86">
        <v>120</v>
      </c>
      <c r="K86">
        <v>1</v>
      </c>
      <c r="L86" t="s">
        <v>646</v>
      </c>
      <c r="M86" t="s">
        <v>633</v>
      </c>
      <c r="N86">
        <f t="shared" si="4"/>
        <v>3459</v>
      </c>
    </row>
    <row r="87" spans="1:14" x14ac:dyDescent="0.3">
      <c r="A87" t="s">
        <v>774</v>
      </c>
      <c r="B87" t="s">
        <v>629</v>
      </c>
      <c r="C87" t="s">
        <v>630</v>
      </c>
      <c r="D87">
        <v>0</v>
      </c>
      <c r="E87" t="s">
        <v>631</v>
      </c>
      <c r="F87" t="s">
        <v>630</v>
      </c>
      <c r="G87">
        <v>4895</v>
      </c>
      <c r="H87">
        <v>0</v>
      </c>
      <c r="I87">
        <v>102</v>
      </c>
      <c r="J87">
        <v>360</v>
      </c>
      <c r="K87">
        <v>1</v>
      </c>
      <c r="L87" t="s">
        <v>646</v>
      </c>
      <c r="M87" t="s">
        <v>633</v>
      </c>
      <c r="N87">
        <f t="shared" si="4"/>
        <v>4895</v>
      </c>
    </row>
    <row r="88" spans="1:14" x14ac:dyDescent="0.3">
      <c r="A88" t="s">
        <v>776</v>
      </c>
      <c r="B88" t="s">
        <v>657</v>
      </c>
      <c r="C88" t="s">
        <v>635</v>
      </c>
      <c r="D88">
        <v>0</v>
      </c>
      <c r="E88" t="s">
        <v>631</v>
      </c>
      <c r="F88" t="s">
        <v>630</v>
      </c>
      <c r="G88">
        <v>4583</v>
      </c>
      <c r="H88">
        <v>0</v>
      </c>
      <c r="I88">
        <v>84</v>
      </c>
      <c r="J88">
        <v>360</v>
      </c>
      <c r="K88">
        <v>1</v>
      </c>
      <c r="L88" t="s">
        <v>636</v>
      </c>
      <c r="M88" t="s">
        <v>637</v>
      </c>
      <c r="N88">
        <f t="shared" si="4"/>
        <v>4583</v>
      </c>
    </row>
    <row r="89" spans="1:14" x14ac:dyDescent="0.3">
      <c r="A89" t="s">
        <v>777</v>
      </c>
      <c r="B89" t="s">
        <v>629</v>
      </c>
      <c r="C89" t="s">
        <v>635</v>
      </c>
      <c r="D89">
        <v>2</v>
      </c>
      <c r="E89" t="s">
        <v>631</v>
      </c>
      <c r="F89" t="s">
        <v>635</v>
      </c>
      <c r="G89">
        <v>3316</v>
      </c>
      <c r="H89">
        <v>3500</v>
      </c>
      <c r="I89">
        <v>88</v>
      </c>
      <c r="J89">
        <v>360</v>
      </c>
      <c r="K89">
        <v>1</v>
      </c>
      <c r="L89" t="s">
        <v>632</v>
      </c>
      <c r="M89" t="s">
        <v>633</v>
      </c>
      <c r="N89">
        <f t="shared" si="4"/>
        <v>6816</v>
      </c>
    </row>
    <row r="90" spans="1:14" x14ac:dyDescent="0.3">
      <c r="A90" t="s">
        <v>778</v>
      </c>
      <c r="B90" t="s">
        <v>629</v>
      </c>
      <c r="C90" t="s">
        <v>630</v>
      </c>
      <c r="D90">
        <v>0</v>
      </c>
      <c r="E90" t="s">
        <v>631</v>
      </c>
      <c r="F90" t="s">
        <v>630</v>
      </c>
      <c r="G90">
        <v>14999</v>
      </c>
      <c r="H90">
        <v>0</v>
      </c>
      <c r="I90">
        <v>242</v>
      </c>
      <c r="J90">
        <v>360</v>
      </c>
      <c r="K90">
        <v>0</v>
      </c>
      <c r="L90" t="s">
        <v>646</v>
      </c>
      <c r="M90" t="s">
        <v>637</v>
      </c>
      <c r="N90">
        <f t="shared" si="4"/>
        <v>14999</v>
      </c>
    </row>
    <row r="91" spans="1:14" x14ac:dyDescent="0.3">
      <c r="A91" t="s">
        <v>779</v>
      </c>
      <c r="B91" t="s">
        <v>629</v>
      </c>
      <c r="C91" t="s">
        <v>635</v>
      </c>
      <c r="D91">
        <v>2</v>
      </c>
      <c r="E91" t="s">
        <v>640</v>
      </c>
      <c r="F91" t="s">
        <v>630</v>
      </c>
      <c r="G91">
        <v>4200</v>
      </c>
      <c r="H91">
        <v>1430</v>
      </c>
      <c r="I91">
        <v>129</v>
      </c>
      <c r="J91">
        <v>360</v>
      </c>
      <c r="K91">
        <v>1</v>
      </c>
      <c r="L91" t="s">
        <v>636</v>
      </c>
      <c r="M91" t="s">
        <v>637</v>
      </c>
      <c r="N91">
        <f t="shared" si="4"/>
        <v>5630</v>
      </c>
    </row>
    <row r="92" spans="1:14" x14ac:dyDescent="0.3">
      <c r="A92" t="s">
        <v>780</v>
      </c>
      <c r="B92" t="s">
        <v>629</v>
      </c>
      <c r="C92" t="s">
        <v>635</v>
      </c>
      <c r="D92">
        <v>2</v>
      </c>
      <c r="E92" t="s">
        <v>631</v>
      </c>
      <c r="F92" t="s">
        <v>630</v>
      </c>
      <c r="G92">
        <v>5042</v>
      </c>
      <c r="H92">
        <v>2083</v>
      </c>
      <c r="I92">
        <v>185</v>
      </c>
      <c r="J92">
        <v>360</v>
      </c>
      <c r="K92">
        <v>1</v>
      </c>
      <c r="L92" t="s">
        <v>636</v>
      </c>
      <c r="M92" t="s">
        <v>637</v>
      </c>
      <c r="N92">
        <f t="shared" si="4"/>
        <v>7125</v>
      </c>
    </row>
    <row r="93" spans="1:14" x14ac:dyDescent="0.3">
      <c r="A93" t="s">
        <v>781</v>
      </c>
      <c r="B93" t="s">
        <v>629</v>
      </c>
      <c r="C93" t="s">
        <v>630</v>
      </c>
      <c r="D93">
        <v>0</v>
      </c>
      <c r="E93" t="s">
        <v>631</v>
      </c>
      <c r="F93" t="s">
        <v>630</v>
      </c>
      <c r="G93">
        <v>5417</v>
      </c>
      <c r="H93">
        <v>0</v>
      </c>
      <c r="I93">
        <v>168</v>
      </c>
      <c r="J93">
        <v>360</v>
      </c>
      <c r="K93">
        <v>1</v>
      </c>
      <c r="L93" t="s">
        <v>632</v>
      </c>
      <c r="M93" t="s">
        <v>633</v>
      </c>
      <c r="N93">
        <f t="shared" si="4"/>
        <v>5417</v>
      </c>
    </row>
    <row r="94" spans="1:14" x14ac:dyDescent="0.3">
      <c r="A94" t="s">
        <v>782</v>
      </c>
      <c r="B94" t="s">
        <v>629</v>
      </c>
      <c r="C94" t="s">
        <v>630</v>
      </c>
      <c r="D94">
        <v>0</v>
      </c>
      <c r="E94" t="s">
        <v>631</v>
      </c>
      <c r="F94" t="s">
        <v>635</v>
      </c>
      <c r="G94">
        <v>6950</v>
      </c>
      <c r="H94">
        <v>0</v>
      </c>
      <c r="I94">
        <v>175</v>
      </c>
      <c r="J94">
        <v>180</v>
      </c>
      <c r="K94">
        <v>1</v>
      </c>
      <c r="L94" t="s">
        <v>646</v>
      </c>
      <c r="M94" t="s">
        <v>633</v>
      </c>
      <c r="N94">
        <f t="shared" si="4"/>
        <v>6950</v>
      </c>
    </row>
    <row r="95" spans="1:14" x14ac:dyDescent="0.3">
      <c r="A95" t="s">
        <v>783</v>
      </c>
      <c r="B95" t="s">
        <v>629</v>
      </c>
      <c r="C95" t="s">
        <v>635</v>
      </c>
      <c r="D95">
        <v>0</v>
      </c>
      <c r="E95" t="s">
        <v>631</v>
      </c>
      <c r="F95" t="s">
        <v>630</v>
      </c>
      <c r="G95">
        <v>2698</v>
      </c>
      <c r="H95">
        <v>2034</v>
      </c>
      <c r="I95">
        <v>122</v>
      </c>
      <c r="J95">
        <v>360</v>
      </c>
      <c r="K95">
        <v>1</v>
      </c>
      <c r="L95" t="s">
        <v>646</v>
      </c>
      <c r="M95" t="s">
        <v>633</v>
      </c>
      <c r="N95">
        <f t="shared" si="4"/>
        <v>4732</v>
      </c>
    </row>
    <row r="96" spans="1:14" x14ac:dyDescent="0.3">
      <c r="A96" t="s">
        <v>784</v>
      </c>
      <c r="B96" t="s">
        <v>629</v>
      </c>
      <c r="C96" t="s">
        <v>635</v>
      </c>
      <c r="D96">
        <v>2</v>
      </c>
      <c r="E96" t="s">
        <v>631</v>
      </c>
      <c r="F96" t="s">
        <v>630</v>
      </c>
      <c r="G96">
        <v>11757</v>
      </c>
      <c r="H96">
        <v>0</v>
      </c>
      <c r="I96">
        <v>187</v>
      </c>
      <c r="J96">
        <v>180</v>
      </c>
      <c r="K96">
        <v>1</v>
      </c>
      <c r="L96" t="s">
        <v>632</v>
      </c>
      <c r="M96" t="s">
        <v>633</v>
      </c>
      <c r="N96">
        <f t="shared" si="4"/>
        <v>11757</v>
      </c>
    </row>
    <row r="97" spans="1:14" x14ac:dyDescent="0.3">
      <c r="A97" t="s">
        <v>785</v>
      </c>
      <c r="B97" t="s">
        <v>657</v>
      </c>
      <c r="C97" t="s">
        <v>635</v>
      </c>
      <c r="D97">
        <v>0</v>
      </c>
      <c r="E97" t="s">
        <v>631</v>
      </c>
      <c r="F97" t="s">
        <v>630</v>
      </c>
      <c r="G97">
        <v>2330</v>
      </c>
      <c r="H97">
        <v>4486</v>
      </c>
      <c r="I97">
        <v>100</v>
      </c>
      <c r="J97">
        <v>360</v>
      </c>
      <c r="K97">
        <v>1</v>
      </c>
      <c r="L97" t="s">
        <v>646</v>
      </c>
      <c r="M97" t="s">
        <v>633</v>
      </c>
      <c r="N97">
        <f t="shared" si="4"/>
        <v>6816</v>
      </c>
    </row>
    <row r="98" spans="1:14" x14ac:dyDescent="0.3">
      <c r="A98" t="s">
        <v>786</v>
      </c>
      <c r="B98" t="s">
        <v>657</v>
      </c>
      <c r="C98" t="s">
        <v>635</v>
      </c>
      <c r="D98">
        <v>2</v>
      </c>
      <c r="E98" t="s">
        <v>631</v>
      </c>
      <c r="F98" t="s">
        <v>630</v>
      </c>
      <c r="G98">
        <v>14866</v>
      </c>
      <c r="H98">
        <v>0</v>
      </c>
      <c r="I98">
        <v>70</v>
      </c>
      <c r="J98">
        <v>360</v>
      </c>
      <c r="K98">
        <v>1</v>
      </c>
      <c r="L98" t="s">
        <v>632</v>
      </c>
      <c r="M98" t="s">
        <v>633</v>
      </c>
      <c r="N98">
        <f t="shared" si="4"/>
        <v>14866</v>
      </c>
    </row>
    <row r="99" spans="1:14" x14ac:dyDescent="0.3">
      <c r="A99" t="s">
        <v>787</v>
      </c>
      <c r="B99" t="s">
        <v>629</v>
      </c>
      <c r="C99" t="s">
        <v>635</v>
      </c>
      <c r="D99">
        <v>1</v>
      </c>
      <c r="E99" t="s">
        <v>631</v>
      </c>
      <c r="F99" t="s">
        <v>630</v>
      </c>
      <c r="G99">
        <v>1538</v>
      </c>
      <c r="H99">
        <v>1425</v>
      </c>
      <c r="I99">
        <v>30</v>
      </c>
      <c r="J99">
        <v>360</v>
      </c>
      <c r="K99">
        <v>1</v>
      </c>
      <c r="L99" t="s">
        <v>632</v>
      </c>
      <c r="M99" t="s">
        <v>633</v>
      </c>
      <c r="N99">
        <f t="shared" si="4"/>
        <v>2963</v>
      </c>
    </row>
    <row r="100" spans="1:14" x14ac:dyDescent="0.3">
      <c r="A100" t="s">
        <v>788</v>
      </c>
      <c r="B100" t="s">
        <v>657</v>
      </c>
      <c r="C100" t="s">
        <v>630</v>
      </c>
      <c r="D100">
        <v>0</v>
      </c>
      <c r="E100" t="s">
        <v>631</v>
      </c>
      <c r="F100" t="s">
        <v>630</v>
      </c>
      <c r="G100">
        <v>10000</v>
      </c>
      <c r="H100">
        <v>1666</v>
      </c>
      <c r="I100">
        <v>225</v>
      </c>
      <c r="J100">
        <v>360</v>
      </c>
      <c r="K100">
        <v>1</v>
      </c>
      <c r="L100" t="s">
        <v>636</v>
      </c>
      <c r="M100" t="s">
        <v>637</v>
      </c>
      <c r="N100">
        <f t="shared" si="4"/>
        <v>11666</v>
      </c>
    </row>
    <row r="101" spans="1:14" x14ac:dyDescent="0.3">
      <c r="A101" t="s">
        <v>789</v>
      </c>
      <c r="B101" t="s">
        <v>629</v>
      </c>
      <c r="C101" t="s">
        <v>635</v>
      </c>
      <c r="D101">
        <v>0</v>
      </c>
      <c r="E101" t="s">
        <v>631</v>
      </c>
      <c r="F101" t="s">
        <v>630</v>
      </c>
      <c r="G101">
        <v>4860</v>
      </c>
      <c r="H101">
        <v>830</v>
      </c>
      <c r="I101">
        <v>125</v>
      </c>
      <c r="J101">
        <v>360</v>
      </c>
      <c r="K101">
        <v>1</v>
      </c>
      <c r="L101" t="s">
        <v>646</v>
      </c>
      <c r="M101" t="s">
        <v>633</v>
      </c>
      <c r="N101">
        <f t="shared" si="4"/>
        <v>5690</v>
      </c>
    </row>
    <row r="102" spans="1:14" x14ac:dyDescent="0.3">
      <c r="A102" t="s">
        <v>790</v>
      </c>
      <c r="B102" t="s">
        <v>629</v>
      </c>
      <c r="C102" t="s">
        <v>630</v>
      </c>
      <c r="D102">
        <v>0</v>
      </c>
      <c r="E102" t="s">
        <v>631</v>
      </c>
      <c r="F102" t="s">
        <v>630</v>
      </c>
      <c r="G102">
        <v>6277</v>
      </c>
      <c r="H102">
        <v>0</v>
      </c>
      <c r="I102">
        <v>118</v>
      </c>
      <c r="J102">
        <v>360</v>
      </c>
      <c r="K102">
        <v>0</v>
      </c>
      <c r="L102" t="s">
        <v>636</v>
      </c>
      <c r="M102" t="s">
        <v>637</v>
      </c>
      <c r="N102">
        <f t="shared" si="4"/>
        <v>6277</v>
      </c>
    </row>
    <row r="103" spans="1:14" x14ac:dyDescent="0.3">
      <c r="A103" t="s">
        <v>791</v>
      </c>
      <c r="B103" t="s">
        <v>629</v>
      </c>
      <c r="C103" t="s">
        <v>635</v>
      </c>
      <c r="D103">
        <v>0</v>
      </c>
      <c r="E103" t="s">
        <v>631</v>
      </c>
      <c r="F103" t="s">
        <v>635</v>
      </c>
      <c r="G103">
        <v>2577</v>
      </c>
      <c r="H103">
        <v>3750</v>
      </c>
      <c r="I103">
        <v>152</v>
      </c>
      <c r="J103">
        <v>360</v>
      </c>
      <c r="K103">
        <v>1</v>
      </c>
      <c r="L103" t="s">
        <v>636</v>
      </c>
      <c r="M103" t="s">
        <v>633</v>
      </c>
      <c r="N103">
        <f t="shared" si="4"/>
        <v>6327</v>
      </c>
    </row>
    <row r="104" spans="1:14" x14ac:dyDescent="0.3">
      <c r="A104" t="s">
        <v>792</v>
      </c>
      <c r="B104" t="s">
        <v>629</v>
      </c>
      <c r="C104" t="s">
        <v>630</v>
      </c>
      <c r="D104">
        <v>0</v>
      </c>
      <c r="E104" t="s">
        <v>631</v>
      </c>
      <c r="F104" t="s">
        <v>630</v>
      </c>
      <c r="G104">
        <v>9166</v>
      </c>
      <c r="H104">
        <v>0</v>
      </c>
      <c r="I104">
        <v>244</v>
      </c>
      <c r="J104">
        <v>360</v>
      </c>
      <c r="K104">
        <v>1</v>
      </c>
      <c r="L104" t="s">
        <v>632</v>
      </c>
      <c r="M104" t="s">
        <v>637</v>
      </c>
      <c r="N104">
        <f t="shared" si="4"/>
        <v>9166</v>
      </c>
    </row>
    <row r="105" spans="1:14" x14ac:dyDescent="0.3">
      <c r="A105" t="s">
        <v>793</v>
      </c>
      <c r="B105" t="s">
        <v>629</v>
      </c>
      <c r="C105" t="s">
        <v>635</v>
      </c>
      <c r="D105">
        <v>2</v>
      </c>
      <c r="E105" t="s">
        <v>640</v>
      </c>
      <c r="F105" t="s">
        <v>630</v>
      </c>
      <c r="G105">
        <v>2281</v>
      </c>
      <c r="H105">
        <v>0</v>
      </c>
      <c r="I105">
        <v>113</v>
      </c>
      <c r="J105">
        <v>360</v>
      </c>
      <c r="K105">
        <v>1</v>
      </c>
      <c r="L105" t="s">
        <v>636</v>
      </c>
      <c r="M105" t="s">
        <v>637</v>
      </c>
      <c r="N105">
        <f t="shared" si="4"/>
        <v>2281</v>
      </c>
    </row>
    <row r="106" spans="1:14" x14ac:dyDescent="0.3">
      <c r="A106" t="s">
        <v>794</v>
      </c>
      <c r="B106" t="s">
        <v>629</v>
      </c>
      <c r="C106" t="s">
        <v>630</v>
      </c>
      <c r="D106">
        <v>0</v>
      </c>
      <c r="E106" t="s">
        <v>631</v>
      </c>
      <c r="F106" t="s">
        <v>630</v>
      </c>
      <c r="G106">
        <v>3254</v>
      </c>
      <c r="H106">
        <v>0</v>
      </c>
      <c r="I106">
        <v>50</v>
      </c>
      <c r="J106">
        <v>360</v>
      </c>
      <c r="K106">
        <v>1</v>
      </c>
      <c r="L106" t="s">
        <v>632</v>
      </c>
      <c r="M106" t="s">
        <v>633</v>
      </c>
      <c r="N106">
        <f t="shared" si="4"/>
        <v>3254</v>
      </c>
    </row>
    <row r="107" spans="1:14" x14ac:dyDescent="0.3">
      <c r="A107" t="s">
        <v>797</v>
      </c>
      <c r="B107" t="s">
        <v>629</v>
      </c>
      <c r="C107" t="s">
        <v>635</v>
      </c>
      <c r="D107">
        <v>1</v>
      </c>
      <c r="E107" t="s">
        <v>631</v>
      </c>
      <c r="F107" t="s">
        <v>630</v>
      </c>
      <c r="G107">
        <v>9538</v>
      </c>
      <c r="H107">
        <v>0</v>
      </c>
      <c r="I107">
        <v>187</v>
      </c>
      <c r="J107">
        <v>360</v>
      </c>
      <c r="K107">
        <v>1</v>
      </c>
      <c r="L107" t="s">
        <v>632</v>
      </c>
      <c r="M107" t="s">
        <v>633</v>
      </c>
      <c r="N107">
        <f t="shared" si="4"/>
        <v>9538</v>
      </c>
    </row>
    <row r="108" spans="1:14" x14ac:dyDescent="0.3">
      <c r="A108" t="s">
        <v>799</v>
      </c>
      <c r="B108" t="s">
        <v>629</v>
      </c>
      <c r="C108" t="s">
        <v>635</v>
      </c>
      <c r="D108">
        <v>0</v>
      </c>
      <c r="E108" t="s">
        <v>631</v>
      </c>
      <c r="F108" t="s">
        <v>630</v>
      </c>
      <c r="G108">
        <v>4583</v>
      </c>
      <c r="H108">
        <v>5625</v>
      </c>
      <c r="I108">
        <v>255</v>
      </c>
      <c r="J108">
        <v>360</v>
      </c>
      <c r="K108">
        <v>1</v>
      </c>
      <c r="L108" t="s">
        <v>646</v>
      </c>
      <c r="M108" t="s">
        <v>633</v>
      </c>
      <c r="N108">
        <f t="shared" si="4"/>
        <v>10208</v>
      </c>
    </row>
    <row r="109" spans="1:14" x14ac:dyDescent="0.3">
      <c r="A109" t="s">
        <v>800</v>
      </c>
      <c r="B109" t="s">
        <v>629</v>
      </c>
      <c r="C109" t="s">
        <v>635</v>
      </c>
      <c r="D109">
        <v>0</v>
      </c>
      <c r="E109" t="s">
        <v>640</v>
      </c>
      <c r="F109" t="s">
        <v>630</v>
      </c>
      <c r="G109">
        <v>1863</v>
      </c>
      <c r="H109">
        <v>1041</v>
      </c>
      <c r="I109">
        <v>98</v>
      </c>
      <c r="J109">
        <v>360</v>
      </c>
      <c r="K109">
        <v>1</v>
      </c>
      <c r="L109" t="s">
        <v>646</v>
      </c>
      <c r="M109" t="s">
        <v>633</v>
      </c>
      <c r="N109">
        <f t="shared" si="4"/>
        <v>2904</v>
      </c>
    </row>
    <row r="110" spans="1:14" x14ac:dyDescent="0.3">
      <c r="A110" t="s">
        <v>801</v>
      </c>
      <c r="B110" t="s">
        <v>629</v>
      </c>
      <c r="C110" t="s">
        <v>635</v>
      </c>
      <c r="D110">
        <v>0</v>
      </c>
      <c r="E110" t="s">
        <v>631</v>
      </c>
      <c r="F110" t="s">
        <v>630</v>
      </c>
      <c r="G110">
        <v>7933</v>
      </c>
      <c r="H110">
        <v>0</v>
      </c>
      <c r="I110">
        <v>275</v>
      </c>
      <c r="J110">
        <v>360</v>
      </c>
      <c r="K110">
        <v>1</v>
      </c>
      <c r="L110" t="s">
        <v>632</v>
      </c>
      <c r="M110" t="s">
        <v>637</v>
      </c>
      <c r="N110">
        <f t="shared" si="4"/>
        <v>7933</v>
      </c>
    </row>
    <row r="111" spans="1:14" x14ac:dyDescent="0.3">
      <c r="A111" t="s">
        <v>802</v>
      </c>
      <c r="B111" t="s">
        <v>629</v>
      </c>
      <c r="C111" t="s">
        <v>635</v>
      </c>
      <c r="D111">
        <v>1</v>
      </c>
      <c r="E111" t="s">
        <v>631</v>
      </c>
      <c r="F111" t="s">
        <v>630</v>
      </c>
      <c r="G111">
        <v>3089</v>
      </c>
      <c r="H111">
        <v>1280</v>
      </c>
      <c r="I111">
        <v>121</v>
      </c>
      <c r="J111">
        <v>360</v>
      </c>
      <c r="K111">
        <v>0</v>
      </c>
      <c r="L111" t="s">
        <v>646</v>
      </c>
      <c r="M111" t="s">
        <v>637</v>
      </c>
      <c r="N111">
        <f t="shared" si="4"/>
        <v>4369</v>
      </c>
    </row>
    <row r="112" spans="1:14" x14ac:dyDescent="0.3">
      <c r="A112" t="s">
        <v>803</v>
      </c>
      <c r="B112" t="s">
        <v>629</v>
      </c>
      <c r="C112" t="s">
        <v>635</v>
      </c>
      <c r="D112">
        <v>2</v>
      </c>
      <c r="E112" t="s">
        <v>631</v>
      </c>
      <c r="F112" t="s">
        <v>630</v>
      </c>
      <c r="G112">
        <v>4167</v>
      </c>
      <c r="H112">
        <v>1447</v>
      </c>
      <c r="I112">
        <v>158</v>
      </c>
      <c r="J112">
        <v>360</v>
      </c>
      <c r="K112">
        <v>1</v>
      </c>
      <c r="L112" t="s">
        <v>636</v>
      </c>
      <c r="M112" t="s">
        <v>633</v>
      </c>
      <c r="N112">
        <f t="shared" si="4"/>
        <v>5614</v>
      </c>
    </row>
    <row r="113" spans="1:14" x14ac:dyDescent="0.3">
      <c r="A113" t="s">
        <v>804</v>
      </c>
      <c r="B113" t="s">
        <v>629</v>
      </c>
      <c r="C113" t="s">
        <v>635</v>
      </c>
      <c r="D113">
        <v>0</v>
      </c>
      <c r="E113" t="s">
        <v>631</v>
      </c>
      <c r="F113" t="s">
        <v>630</v>
      </c>
      <c r="G113">
        <v>9323</v>
      </c>
      <c r="H113">
        <v>0</v>
      </c>
      <c r="I113">
        <v>75</v>
      </c>
      <c r="J113">
        <v>180</v>
      </c>
      <c r="K113">
        <v>1</v>
      </c>
      <c r="L113" t="s">
        <v>632</v>
      </c>
      <c r="M113" t="s">
        <v>633</v>
      </c>
      <c r="N113">
        <f t="shared" si="4"/>
        <v>9323</v>
      </c>
    </row>
    <row r="114" spans="1:14" x14ac:dyDescent="0.3">
      <c r="A114" t="s">
        <v>806</v>
      </c>
      <c r="B114" t="s">
        <v>657</v>
      </c>
      <c r="C114" t="s">
        <v>635</v>
      </c>
      <c r="D114">
        <v>0</v>
      </c>
      <c r="E114" t="s">
        <v>631</v>
      </c>
      <c r="F114" t="s">
        <v>630</v>
      </c>
      <c r="G114">
        <v>4583</v>
      </c>
      <c r="H114">
        <v>0</v>
      </c>
      <c r="I114">
        <v>112</v>
      </c>
      <c r="J114">
        <v>360</v>
      </c>
      <c r="K114">
        <v>1</v>
      </c>
      <c r="L114" t="s">
        <v>636</v>
      </c>
      <c r="M114" t="s">
        <v>637</v>
      </c>
      <c r="N114">
        <f t="shared" si="4"/>
        <v>4583</v>
      </c>
    </row>
    <row r="115" spans="1:14" x14ac:dyDescent="0.3">
      <c r="A115" t="s">
        <v>807</v>
      </c>
      <c r="B115" t="s">
        <v>629</v>
      </c>
      <c r="C115" t="s">
        <v>635</v>
      </c>
      <c r="D115">
        <v>0</v>
      </c>
      <c r="E115" t="s">
        <v>631</v>
      </c>
      <c r="F115" t="s">
        <v>630</v>
      </c>
      <c r="G115">
        <v>2439</v>
      </c>
      <c r="H115">
        <v>3333</v>
      </c>
      <c r="I115">
        <v>129</v>
      </c>
      <c r="J115">
        <v>360</v>
      </c>
      <c r="K115">
        <v>1</v>
      </c>
      <c r="L115" t="s">
        <v>636</v>
      </c>
      <c r="M115" t="s">
        <v>633</v>
      </c>
      <c r="N115">
        <f t="shared" si="4"/>
        <v>5772</v>
      </c>
    </row>
    <row r="116" spans="1:14" x14ac:dyDescent="0.3">
      <c r="A116" t="s">
        <v>808</v>
      </c>
      <c r="B116" t="s">
        <v>629</v>
      </c>
      <c r="C116" t="s">
        <v>630</v>
      </c>
      <c r="D116">
        <v>0</v>
      </c>
      <c r="E116" t="s">
        <v>631</v>
      </c>
      <c r="F116" t="s">
        <v>630</v>
      </c>
      <c r="G116">
        <v>2237</v>
      </c>
      <c r="H116">
        <v>0</v>
      </c>
      <c r="I116">
        <v>63</v>
      </c>
      <c r="J116">
        <v>480</v>
      </c>
      <c r="K116">
        <v>0</v>
      </c>
      <c r="L116" t="s">
        <v>646</v>
      </c>
      <c r="M116" t="s">
        <v>637</v>
      </c>
      <c r="N116">
        <f t="shared" si="4"/>
        <v>2237</v>
      </c>
    </row>
    <row r="117" spans="1:14" x14ac:dyDescent="0.3">
      <c r="A117" t="s">
        <v>809</v>
      </c>
      <c r="B117" t="s">
        <v>629</v>
      </c>
      <c r="C117" t="s">
        <v>635</v>
      </c>
      <c r="D117">
        <v>2</v>
      </c>
      <c r="E117" t="s">
        <v>631</v>
      </c>
      <c r="F117" t="s">
        <v>630</v>
      </c>
      <c r="G117">
        <v>8000</v>
      </c>
      <c r="H117">
        <v>0</v>
      </c>
      <c r="I117">
        <v>200</v>
      </c>
      <c r="J117">
        <v>360</v>
      </c>
      <c r="K117">
        <v>1</v>
      </c>
      <c r="L117" t="s">
        <v>646</v>
      </c>
      <c r="M117" t="s">
        <v>633</v>
      </c>
      <c r="N117">
        <f t="shared" si="4"/>
        <v>8000</v>
      </c>
    </row>
    <row r="118" spans="1:14" x14ac:dyDescent="0.3">
      <c r="A118" t="s">
        <v>812</v>
      </c>
      <c r="B118" t="s">
        <v>629</v>
      </c>
      <c r="C118" t="s">
        <v>635</v>
      </c>
      <c r="D118" t="s">
        <v>645</v>
      </c>
      <c r="E118" t="s">
        <v>640</v>
      </c>
      <c r="F118" t="s">
        <v>630</v>
      </c>
      <c r="G118">
        <v>3522</v>
      </c>
      <c r="H118">
        <v>0</v>
      </c>
      <c r="I118">
        <v>81</v>
      </c>
      <c r="J118">
        <v>180</v>
      </c>
      <c r="K118">
        <v>1</v>
      </c>
      <c r="L118" t="s">
        <v>636</v>
      </c>
      <c r="M118" t="s">
        <v>637</v>
      </c>
      <c r="N118">
        <f t="shared" si="4"/>
        <v>3522</v>
      </c>
    </row>
    <row r="119" spans="1:14" x14ac:dyDescent="0.3">
      <c r="A119" t="s">
        <v>813</v>
      </c>
      <c r="B119" t="s">
        <v>629</v>
      </c>
      <c r="C119" t="s">
        <v>635</v>
      </c>
      <c r="D119">
        <v>0</v>
      </c>
      <c r="E119" t="s">
        <v>631</v>
      </c>
      <c r="F119" t="s">
        <v>630</v>
      </c>
      <c r="G119">
        <v>5708</v>
      </c>
      <c r="H119">
        <v>5625</v>
      </c>
      <c r="I119">
        <v>187</v>
      </c>
      <c r="J119">
        <v>360</v>
      </c>
      <c r="K119">
        <v>1</v>
      </c>
      <c r="L119" t="s">
        <v>646</v>
      </c>
      <c r="M119" t="s">
        <v>633</v>
      </c>
      <c r="N119">
        <f t="shared" si="4"/>
        <v>11333</v>
      </c>
    </row>
    <row r="120" spans="1:14" x14ac:dyDescent="0.3">
      <c r="A120" t="s">
        <v>814</v>
      </c>
      <c r="B120" t="s">
        <v>629</v>
      </c>
      <c r="C120" t="s">
        <v>635</v>
      </c>
      <c r="D120">
        <v>0</v>
      </c>
      <c r="E120" t="s">
        <v>640</v>
      </c>
      <c r="F120" t="s">
        <v>635</v>
      </c>
      <c r="G120">
        <v>4344</v>
      </c>
      <c r="H120">
        <v>736</v>
      </c>
      <c r="I120">
        <v>87</v>
      </c>
      <c r="J120">
        <v>360</v>
      </c>
      <c r="K120">
        <v>1</v>
      </c>
      <c r="L120" t="s">
        <v>646</v>
      </c>
      <c r="M120" t="s">
        <v>637</v>
      </c>
      <c r="N120">
        <f t="shared" si="4"/>
        <v>5080</v>
      </c>
    </row>
    <row r="121" spans="1:14" x14ac:dyDescent="0.3">
      <c r="A121" t="s">
        <v>815</v>
      </c>
      <c r="B121" t="s">
        <v>629</v>
      </c>
      <c r="C121" t="s">
        <v>635</v>
      </c>
      <c r="D121">
        <v>0</v>
      </c>
      <c r="E121" t="s">
        <v>631</v>
      </c>
      <c r="F121" t="s">
        <v>630</v>
      </c>
      <c r="G121">
        <v>3497</v>
      </c>
      <c r="H121">
        <v>1964</v>
      </c>
      <c r="I121">
        <v>116</v>
      </c>
      <c r="J121">
        <v>360</v>
      </c>
      <c r="K121">
        <v>1</v>
      </c>
      <c r="L121" t="s">
        <v>636</v>
      </c>
      <c r="M121" t="s">
        <v>633</v>
      </c>
      <c r="N121">
        <f t="shared" si="4"/>
        <v>5461</v>
      </c>
    </row>
    <row r="122" spans="1:14" x14ac:dyDescent="0.3">
      <c r="A122" t="s">
        <v>816</v>
      </c>
      <c r="B122" t="s">
        <v>629</v>
      </c>
      <c r="C122" t="s">
        <v>635</v>
      </c>
      <c r="D122">
        <v>2</v>
      </c>
      <c r="E122" t="s">
        <v>631</v>
      </c>
      <c r="F122" t="s">
        <v>630</v>
      </c>
      <c r="G122">
        <v>2045</v>
      </c>
      <c r="H122">
        <v>1619</v>
      </c>
      <c r="I122">
        <v>101</v>
      </c>
      <c r="J122">
        <v>360</v>
      </c>
      <c r="K122">
        <v>1</v>
      </c>
      <c r="L122" t="s">
        <v>636</v>
      </c>
      <c r="M122" t="s">
        <v>633</v>
      </c>
      <c r="N122">
        <f t="shared" si="4"/>
        <v>3664</v>
      </c>
    </row>
    <row r="123" spans="1:14" x14ac:dyDescent="0.3">
      <c r="A123" t="s">
        <v>818</v>
      </c>
      <c r="B123" t="s">
        <v>629</v>
      </c>
      <c r="C123" t="s">
        <v>635</v>
      </c>
      <c r="D123">
        <v>1</v>
      </c>
      <c r="E123" t="s">
        <v>631</v>
      </c>
      <c r="F123" t="s">
        <v>630</v>
      </c>
      <c r="G123">
        <v>3750</v>
      </c>
      <c r="H123">
        <v>0</v>
      </c>
      <c r="I123">
        <v>116</v>
      </c>
      <c r="J123">
        <v>360</v>
      </c>
      <c r="K123">
        <v>1</v>
      </c>
      <c r="L123" t="s">
        <v>646</v>
      </c>
      <c r="M123" t="s">
        <v>633</v>
      </c>
      <c r="N123">
        <f t="shared" si="4"/>
        <v>3750</v>
      </c>
    </row>
    <row r="124" spans="1:14" x14ac:dyDescent="0.3">
      <c r="A124" t="s">
        <v>819</v>
      </c>
      <c r="B124" t="s">
        <v>629</v>
      </c>
      <c r="C124" t="s">
        <v>630</v>
      </c>
      <c r="D124">
        <v>0</v>
      </c>
      <c r="E124" t="s">
        <v>640</v>
      </c>
      <c r="F124" t="s">
        <v>630</v>
      </c>
      <c r="G124">
        <v>2333</v>
      </c>
      <c r="H124">
        <v>1451</v>
      </c>
      <c r="I124">
        <v>102</v>
      </c>
      <c r="J124">
        <v>480</v>
      </c>
      <c r="K124">
        <v>0</v>
      </c>
      <c r="L124" t="s">
        <v>632</v>
      </c>
      <c r="M124" t="s">
        <v>637</v>
      </c>
      <c r="N124">
        <f t="shared" si="4"/>
        <v>3784</v>
      </c>
    </row>
    <row r="125" spans="1:14" x14ac:dyDescent="0.3">
      <c r="A125" t="s">
        <v>820</v>
      </c>
      <c r="B125" t="s">
        <v>629</v>
      </c>
      <c r="C125" t="s">
        <v>635</v>
      </c>
      <c r="D125">
        <v>1</v>
      </c>
      <c r="E125" t="s">
        <v>631</v>
      </c>
      <c r="F125" t="s">
        <v>630</v>
      </c>
      <c r="G125">
        <v>6400</v>
      </c>
      <c r="H125">
        <v>7250</v>
      </c>
      <c r="I125">
        <v>180</v>
      </c>
      <c r="J125">
        <v>360</v>
      </c>
      <c r="K125">
        <v>0</v>
      </c>
      <c r="L125" t="s">
        <v>632</v>
      </c>
      <c r="M125" t="s">
        <v>637</v>
      </c>
      <c r="N125">
        <f t="shared" si="4"/>
        <v>13650</v>
      </c>
    </row>
    <row r="126" spans="1:14" x14ac:dyDescent="0.3">
      <c r="A126" t="s">
        <v>822</v>
      </c>
      <c r="B126" t="s">
        <v>629</v>
      </c>
      <c r="C126" t="s">
        <v>635</v>
      </c>
      <c r="D126">
        <v>0</v>
      </c>
      <c r="E126" t="s">
        <v>631</v>
      </c>
      <c r="F126" t="s">
        <v>630</v>
      </c>
      <c r="G126">
        <v>4600</v>
      </c>
      <c r="H126">
        <v>0</v>
      </c>
      <c r="I126">
        <v>73</v>
      </c>
      <c r="J126">
        <v>180</v>
      </c>
      <c r="K126">
        <v>1</v>
      </c>
      <c r="L126" t="s">
        <v>646</v>
      </c>
      <c r="M126" t="s">
        <v>633</v>
      </c>
      <c r="N126">
        <f t="shared" si="4"/>
        <v>4600</v>
      </c>
    </row>
    <row r="127" spans="1:14" x14ac:dyDescent="0.3">
      <c r="A127" t="s">
        <v>823</v>
      </c>
      <c r="B127" t="s">
        <v>629</v>
      </c>
      <c r="C127" t="s">
        <v>635</v>
      </c>
      <c r="D127">
        <v>1</v>
      </c>
      <c r="E127" t="s">
        <v>631</v>
      </c>
      <c r="F127" t="s">
        <v>630</v>
      </c>
      <c r="G127">
        <v>33846</v>
      </c>
      <c r="H127">
        <v>0</v>
      </c>
      <c r="I127">
        <v>260</v>
      </c>
      <c r="J127">
        <v>360</v>
      </c>
      <c r="K127">
        <v>1</v>
      </c>
      <c r="L127" t="s">
        <v>646</v>
      </c>
      <c r="M127" t="s">
        <v>637</v>
      </c>
      <c r="N127">
        <f t="shared" si="4"/>
        <v>33846</v>
      </c>
    </row>
    <row r="128" spans="1:14" x14ac:dyDescent="0.3">
      <c r="A128" t="s">
        <v>824</v>
      </c>
      <c r="B128" t="s">
        <v>657</v>
      </c>
      <c r="C128" t="s">
        <v>635</v>
      </c>
      <c r="D128">
        <v>0</v>
      </c>
      <c r="E128" t="s">
        <v>631</v>
      </c>
      <c r="F128" t="s">
        <v>630</v>
      </c>
      <c r="G128">
        <v>3625</v>
      </c>
      <c r="H128">
        <v>0</v>
      </c>
      <c r="I128">
        <v>108</v>
      </c>
      <c r="J128">
        <v>360</v>
      </c>
      <c r="K128">
        <v>1</v>
      </c>
      <c r="L128" t="s">
        <v>646</v>
      </c>
      <c r="M128" t="s">
        <v>633</v>
      </c>
      <c r="N128">
        <f t="shared" si="4"/>
        <v>3625</v>
      </c>
    </row>
    <row r="129" spans="1:14" x14ac:dyDescent="0.3">
      <c r="A129" t="s">
        <v>825</v>
      </c>
      <c r="B129" t="s">
        <v>629</v>
      </c>
      <c r="C129" t="s">
        <v>635</v>
      </c>
      <c r="D129">
        <v>0</v>
      </c>
      <c r="E129" t="s">
        <v>631</v>
      </c>
      <c r="F129" t="s">
        <v>635</v>
      </c>
      <c r="G129">
        <v>39147</v>
      </c>
      <c r="H129">
        <v>4750</v>
      </c>
      <c r="I129">
        <v>120</v>
      </c>
      <c r="J129">
        <v>360</v>
      </c>
      <c r="K129">
        <v>1</v>
      </c>
      <c r="L129" t="s">
        <v>646</v>
      </c>
      <c r="M129" t="s">
        <v>633</v>
      </c>
      <c r="N129">
        <f t="shared" si="4"/>
        <v>43897</v>
      </c>
    </row>
    <row r="130" spans="1:14" x14ac:dyDescent="0.3">
      <c r="A130" t="s">
        <v>826</v>
      </c>
      <c r="B130" t="s">
        <v>629</v>
      </c>
      <c r="C130" t="s">
        <v>635</v>
      </c>
      <c r="D130">
        <v>1</v>
      </c>
      <c r="E130" t="s">
        <v>631</v>
      </c>
      <c r="F130" t="s">
        <v>635</v>
      </c>
      <c r="G130">
        <v>2178</v>
      </c>
      <c r="H130">
        <v>0</v>
      </c>
      <c r="I130">
        <v>66</v>
      </c>
      <c r="J130">
        <v>300</v>
      </c>
      <c r="K130">
        <v>0</v>
      </c>
      <c r="L130" t="s">
        <v>636</v>
      </c>
      <c r="M130" t="s">
        <v>637</v>
      </c>
      <c r="N130">
        <f t="shared" si="4"/>
        <v>2178</v>
      </c>
    </row>
    <row r="131" spans="1:14" x14ac:dyDescent="0.3">
      <c r="A131" t="s">
        <v>829</v>
      </c>
      <c r="B131" t="s">
        <v>629</v>
      </c>
      <c r="C131" t="s">
        <v>635</v>
      </c>
      <c r="D131">
        <v>0</v>
      </c>
      <c r="E131" t="s">
        <v>631</v>
      </c>
      <c r="F131" t="s">
        <v>630</v>
      </c>
      <c r="G131">
        <v>9328</v>
      </c>
      <c r="H131">
        <v>0</v>
      </c>
      <c r="I131">
        <v>188</v>
      </c>
      <c r="J131">
        <v>180</v>
      </c>
      <c r="K131">
        <v>1</v>
      </c>
      <c r="L131" t="s">
        <v>636</v>
      </c>
      <c r="M131" t="s">
        <v>633</v>
      </c>
      <c r="N131">
        <f t="shared" ref="N131:N194" si="5">G131+H131</f>
        <v>9328</v>
      </c>
    </row>
    <row r="132" spans="1:14" x14ac:dyDescent="0.3">
      <c r="A132" t="s">
        <v>830</v>
      </c>
      <c r="B132" t="s">
        <v>629</v>
      </c>
      <c r="C132" t="s">
        <v>630</v>
      </c>
      <c r="D132">
        <v>0</v>
      </c>
      <c r="E132" t="s">
        <v>640</v>
      </c>
      <c r="F132" t="s">
        <v>630</v>
      </c>
      <c r="G132">
        <v>4885</v>
      </c>
      <c r="H132">
        <v>0</v>
      </c>
      <c r="I132">
        <v>48</v>
      </c>
      <c r="J132">
        <v>360</v>
      </c>
      <c r="K132">
        <v>1</v>
      </c>
      <c r="L132" t="s">
        <v>636</v>
      </c>
      <c r="M132" t="s">
        <v>633</v>
      </c>
      <c r="N132">
        <f t="shared" si="5"/>
        <v>4885</v>
      </c>
    </row>
    <row r="133" spans="1:14" x14ac:dyDescent="0.3">
      <c r="A133" t="s">
        <v>831</v>
      </c>
      <c r="B133" t="s">
        <v>629</v>
      </c>
      <c r="C133" t="s">
        <v>630</v>
      </c>
      <c r="D133">
        <v>0</v>
      </c>
      <c r="E133" t="s">
        <v>631</v>
      </c>
      <c r="F133" t="s">
        <v>630</v>
      </c>
      <c r="G133">
        <v>12000</v>
      </c>
      <c r="H133">
        <v>0</v>
      </c>
      <c r="I133">
        <v>164</v>
      </c>
      <c r="J133">
        <v>360</v>
      </c>
      <c r="K133">
        <v>1</v>
      </c>
      <c r="L133" t="s">
        <v>646</v>
      </c>
      <c r="M133" t="s">
        <v>637</v>
      </c>
      <c r="N133">
        <f t="shared" si="5"/>
        <v>12000</v>
      </c>
    </row>
    <row r="134" spans="1:14" x14ac:dyDescent="0.3">
      <c r="A134" t="s">
        <v>832</v>
      </c>
      <c r="B134" t="s">
        <v>629</v>
      </c>
      <c r="C134" t="s">
        <v>635</v>
      </c>
      <c r="D134">
        <v>0</v>
      </c>
      <c r="E134" t="s">
        <v>640</v>
      </c>
      <c r="F134" t="s">
        <v>630</v>
      </c>
      <c r="G134">
        <v>6033</v>
      </c>
      <c r="H134">
        <v>0</v>
      </c>
      <c r="I134">
        <v>160</v>
      </c>
      <c r="J134">
        <v>360</v>
      </c>
      <c r="K134">
        <v>1</v>
      </c>
      <c r="L134" t="s">
        <v>632</v>
      </c>
      <c r="M134" t="s">
        <v>637</v>
      </c>
      <c r="N134">
        <f t="shared" si="5"/>
        <v>6033</v>
      </c>
    </row>
    <row r="135" spans="1:14" x14ac:dyDescent="0.3">
      <c r="A135" t="s">
        <v>833</v>
      </c>
      <c r="B135" t="s">
        <v>629</v>
      </c>
      <c r="C135" t="s">
        <v>630</v>
      </c>
      <c r="D135">
        <v>0</v>
      </c>
      <c r="E135" t="s">
        <v>631</v>
      </c>
      <c r="F135" t="s">
        <v>630</v>
      </c>
      <c r="G135">
        <v>3858</v>
      </c>
      <c r="H135">
        <v>0</v>
      </c>
      <c r="I135">
        <v>76</v>
      </c>
      <c r="J135">
        <v>360</v>
      </c>
      <c r="K135">
        <v>1</v>
      </c>
      <c r="L135" t="s">
        <v>646</v>
      </c>
      <c r="M135" t="s">
        <v>633</v>
      </c>
      <c r="N135">
        <f t="shared" si="5"/>
        <v>3858</v>
      </c>
    </row>
    <row r="136" spans="1:14" x14ac:dyDescent="0.3">
      <c r="A136" t="s">
        <v>834</v>
      </c>
      <c r="B136" t="s">
        <v>629</v>
      </c>
      <c r="C136" t="s">
        <v>630</v>
      </c>
      <c r="D136">
        <v>0</v>
      </c>
      <c r="E136" t="s">
        <v>631</v>
      </c>
      <c r="F136" t="s">
        <v>630</v>
      </c>
      <c r="G136">
        <v>4191</v>
      </c>
      <c r="H136">
        <v>0</v>
      </c>
      <c r="I136">
        <v>120</v>
      </c>
      <c r="J136">
        <v>360</v>
      </c>
      <c r="K136">
        <v>1</v>
      </c>
      <c r="L136" t="s">
        <v>636</v>
      </c>
      <c r="M136" t="s">
        <v>633</v>
      </c>
      <c r="N136">
        <f t="shared" si="5"/>
        <v>4191</v>
      </c>
    </row>
    <row r="137" spans="1:14" x14ac:dyDescent="0.3">
      <c r="A137" t="s">
        <v>835</v>
      </c>
      <c r="B137" t="s">
        <v>629</v>
      </c>
      <c r="C137" t="s">
        <v>635</v>
      </c>
      <c r="D137">
        <v>1</v>
      </c>
      <c r="E137" t="s">
        <v>631</v>
      </c>
      <c r="F137" t="s">
        <v>630</v>
      </c>
      <c r="G137">
        <v>3125</v>
      </c>
      <c r="H137">
        <v>2583</v>
      </c>
      <c r="I137">
        <v>170</v>
      </c>
      <c r="J137">
        <v>360</v>
      </c>
      <c r="K137">
        <v>1</v>
      </c>
      <c r="L137" t="s">
        <v>646</v>
      </c>
      <c r="M137" t="s">
        <v>637</v>
      </c>
      <c r="N137">
        <f t="shared" si="5"/>
        <v>5708</v>
      </c>
    </row>
    <row r="138" spans="1:14" x14ac:dyDescent="0.3">
      <c r="A138" t="s">
        <v>836</v>
      </c>
      <c r="B138" t="s">
        <v>629</v>
      </c>
      <c r="C138" t="s">
        <v>630</v>
      </c>
      <c r="D138">
        <v>0</v>
      </c>
      <c r="E138" t="s">
        <v>631</v>
      </c>
      <c r="F138" t="s">
        <v>630</v>
      </c>
      <c r="G138">
        <v>8333</v>
      </c>
      <c r="H138">
        <v>3750</v>
      </c>
      <c r="I138">
        <v>187</v>
      </c>
      <c r="J138">
        <v>360</v>
      </c>
      <c r="K138">
        <v>1</v>
      </c>
      <c r="L138" t="s">
        <v>636</v>
      </c>
      <c r="M138" t="s">
        <v>633</v>
      </c>
      <c r="N138">
        <f t="shared" si="5"/>
        <v>12083</v>
      </c>
    </row>
    <row r="139" spans="1:14" x14ac:dyDescent="0.3">
      <c r="A139" t="s">
        <v>839</v>
      </c>
      <c r="B139" t="s">
        <v>629</v>
      </c>
      <c r="C139" t="s">
        <v>630</v>
      </c>
      <c r="D139">
        <v>0</v>
      </c>
      <c r="E139" t="s">
        <v>631</v>
      </c>
      <c r="F139" t="s">
        <v>635</v>
      </c>
      <c r="G139">
        <v>11000</v>
      </c>
      <c r="H139">
        <v>0</v>
      </c>
      <c r="I139">
        <v>83</v>
      </c>
      <c r="J139">
        <v>360</v>
      </c>
      <c r="K139">
        <v>1</v>
      </c>
      <c r="L139" t="s">
        <v>632</v>
      </c>
      <c r="M139" t="s">
        <v>637</v>
      </c>
      <c r="N139">
        <f t="shared" si="5"/>
        <v>11000</v>
      </c>
    </row>
    <row r="140" spans="1:14" x14ac:dyDescent="0.3">
      <c r="A140" t="s">
        <v>840</v>
      </c>
      <c r="B140" t="s">
        <v>629</v>
      </c>
      <c r="C140" t="s">
        <v>635</v>
      </c>
      <c r="D140">
        <v>1</v>
      </c>
      <c r="E140" t="s">
        <v>640</v>
      </c>
      <c r="F140" t="s">
        <v>630</v>
      </c>
      <c r="G140">
        <v>2600</v>
      </c>
      <c r="H140">
        <v>2500</v>
      </c>
      <c r="I140">
        <v>90</v>
      </c>
      <c r="J140">
        <v>360</v>
      </c>
      <c r="K140">
        <v>1</v>
      </c>
      <c r="L140" t="s">
        <v>646</v>
      </c>
      <c r="M140" t="s">
        <v>633</v>
      </c>
      <c r="N140">
        <f t="shared" si="5"/>
        <v>5100</v>
      </c>
    </row>
    <row r="141" spans="1:14" x14ac:dyDescent="0.3">
      <c r="A141" t="s">
        <v>841</v>
      </c>
      <c r="B141" t="s">
        <v>629</v>
      </c>
      <c r="C141" t="s">
        <v>630</v>
      </c>
      <c r="D141">
        <v>2</v>
      </c>
      <c r="E141" t="s">
        <v>631</v>
      </c>
      <c r="F141" t="s">
        <v>630</v>
      </c>
      <c r="G141">
        <v>4923</v>
      </c>
      <c r="H141">
        <v>0</v>
      </c>
      <c r="I141">
        <v>166</v>
      </c>
      <c r="J141">
        <v>360</v>
      </c>
      <c r="K141">
        <v>0</v>
      </c>
      <c r="L141" t="s">
        <v>646</v>
      </c>
      <c r="M141" t="s">
        <v>633</v>
      </c>
      <c r="N141">
        <f t="shared" si="5"/>
        <v>4923</v>
      </c>
    </row>
    <row r="142" spans="1:14" x14ac:dyDescent="0.3">
      <c r="A142" t="s">
        <v>843</v>
      </c>
      <c r="B142" t="s">
        <v>629</v>
      </c>
      <c r="C142" t="s">
        <v>635</v>
      </c>
      <c r="D142">
        <v>1</v>
      </c>
      <c r="E142" t="s">
        <v>640</v>
      </c>
      <c r="F142" t="s">
        <v>630</v>
      </c>
      <c r="G142">
        <v>3500</v>
      </c>
      <c r="H142">
        <v>1083</v>
      </c>
      <c r="I142">
        <v>135</v>
      </c>
      <c r="J142">
        <v>360</v>
      </c>
      <c r="K142">
        <v>1</v>
      </c>
      <c r="L142" t="s">
        <v>632</v>
      </c>
      <c r="M142" t="s">
        <v>633</v>
      </c>
      <c r="N142">
        <f t="shared" si="5"/>
        <v>4583</v>
      </c>
    </row>
    <row r="143" spans="1:14" x14ac:dyDescent="0.3">
      <c r="A143" t="s">
        <v>844</v>
      </c>
      <c r="B143" t="s">
        <v>629</v>
      </c>
      <c r="C143" t="s">
        <v>635</v>
      </c>
      <c r="D143">
        <v>2</v>
      </c>
      <c r="E143" t="s">
        <v>640</v>
      </c>
      <c r="F143" t="s">
        <v>630</v>
      </c>
      <c r="G143">
        <v>3917</v>
      </c>
      <c r="H143">
        <v>0</v>
      </c>
      <c r="I143">
        <v>124</v>
      </c>
      <c r="J143">
        <v>360</v>
      </c>
      <c r="K143">
        <v>1</v>
      </c>
      <c r="L143" t="s">
        <v>646</v>
      </c>
      <c r="M143" t="s">
        <v>633</v>
      </c>
      <c r="N143">
        <f t="shared" si="5"/>
        <v>3917</v>
      </c>
    </row>
    <row r="144" spans="1:14" x14ac:dyDescent="0.3">
      <c r="A144" t="s">
        <v>845</v>
      </c>
      <c r="B144" t="s">
        <v>657</v>
      </c>
      <c r="C144" t="s">
        <v>630</v>
      </c>
      <c r="D144">
        <v>0</v>
      </c>
      <c r="E144" t="s">
        <v>640</v>
      </c>
      <c r="F144" t="s">
        <v>630</v>
      </c>
      <c r="G144">
        <v>4408</v>
      </c>
      <c r="H144">
        <v>0</v>
      </c>
      <c r="I144">
        <v>120</v>
      </c>
      <c r="J144">
        <v>360</v>
      </c>
      <c r="K144">
        <v>1</v>
      </c>
      <c r="L144" t="s">
        <v>646</v>
      </c>
      <c r="M144" t="s">
        <v>633</v>
      </c>
      <c r="N144">
        <f t="shared" si="5"/>
        <v>4408</v>
      </c>
    </row>
    <row r="145" spans="1:14" x14ac:dyDescent="0.3">
      <c r="A145" t="s">
        <v>846</v>
      </c>
      <c r="B145" t="s">
        <v>657</v>
      </c>
      <c r="C145" t="s">
        <v>630</v>
      </c>
      <c r="D145">
        <v>0</v>
      </c>
      <c r="E145" t="s">
        <v>631</v>
      </c>
      <c r="F145" t="s">
        <v>630</v>
      </c>
      <c r="G145">
        <v>3244</v>
      </c>
      <c r="H145">
        <v>0</v>
      </c>
      <c r="I145">
        <v>80</v>
      </c>
      <c r="J145">
        <v>360</v>
      </c>
      <c r="K145">
        <v>1</v>
      </c>
      <c r="L145" t="s">
        <v>632</v>
      </c>
      <c r="M145" t="s">
        <v>633</v>
      </c>
      <c r="N145">
        <f t="shared" si="5"/>
        <v>3244</v>
      </c>
    </row>
    <row r="146" spans="1:14" x14ac:dyDescent="0.3">
      <c r="A146" t="s">
        <v>847</v>
      </c>
      <c r="B146" t="s">
        <v>629</v>
      </c>
      <c r="C146" t="s">
        <v>630</v>
      </c>
      <c r="D146">
        <v>0</v>
      </c>
      <c r="E146" t="s">
        <v>640</v>
      </c>
      <c r="F146" t="s">
        <v>630</v>
      </c>
      <c r="G146">
        <v>3975</v>
      </c>
      <c r="H146">
        <v>2531</v>
      </c>
      <c r="I146">
        <v>55</v>
      </c>
      <c r="J146">
        <v>360</v>
      </c>
      <c r="K146">
        <v>1</v>
      </c>
      <c r="L146" t="s">
        <v>636</v>
      </c>
      <c r="M146" t="s">
        <v>633</v>
      </c>
      <c r="N146">
        <f t="shared" si="5"/>
        <v>6506</v>
      </c>
    </row>
    <row r="147" spans="1:14" x14ac:dyDescent="0.3">
      <c r="A147" t="s">
        <v>848</v>
      </c>
      <c r="B147" t="s">
        <v>629</v>
      </c>
      <c r="C147" t="s">
        <v>630</v>
      </c>
      <c r="D147">
        <v>0</v>
      </c>
      <c r="E147" t="s">
        <v>631</v>
      </c>
      <c r="F147" t="s">
        <v>630</v>
      </c>
      <c r="G147">
        <v>2479</v>
      </c>
      <c r="H147">
        <v>0</v>
      </c>
      <c r="I147">
        <v>59</v>
      </c>
      <c r="J147">
        <v>360</v>
      </c>
      <c r="K147">
        <v>1</v>
      </c>
      <c r="L147" t="s">
        <v>632</v>
      </c>
      <c r="M147" t="s">
        <v>633</v>
      </c>
      <c r="N147">
        <f t="shared" si="5"/>
        <v>2479</v>
      </c>
    </row>
    <row r="148" spans="1:14" x14ac:dyDescent="0.3">
      <c r="A148" t="s">
        <v>849</v>
      </c>
      <c r="B148" t="s">
        <v>629</v>
      </c>
      <c r="C148" t="s">
        <v>630</v>
      </c>
      <c r="D148">
        <v>0</v>
      </c>
      <c r="E148" t="s">
        <v>631</v>
      </c>
      <c r="F148" t="s">
        <v>630</v>
      </c>
      <c r="G148">
        <v>3418</v>
      </c>
      <c r="H148">
        <v>0</v>
      </c>
      <c r="I148">
        <v>127</v>
      </c>
      <c r="J148">
        <v>360</v>
      </c>
      <c r="K148">
        <v>1</v>
      </c>
      <c r="L148" t="s">
        <v>646</v>
      </c>
      <c r="M148" t="s">
        <v>637</v>
      </c>
      <c r="N148">
        <f t="shared" si="5"/>
        <v>3418</v>
      </c>
    </row>
    <row r="149" spans="1:14" x14ac:dyDescent="0.3">
      <c r="A149" t="s">
        <v>850</v>
      </c>
      <c r="B149" t="s">
        <v>657</v>
      </c>
      <c r="C149" t="s">
        <v>630</v>
      </c>
      <c r="D149">
        <v>0</v>
      </c>
      <c r="E149" t="s">
        <v>631</v>
      </c>
      <c r="F149" t="s">
        <v>630</v>
      </c>
      <c r="G149">
        <v>10000</v>
      </c>
      <c r="H149">
        <v>0</v>
      </c>
      <c r="I149">
        <v>214</v>
      </c>
      <c r="J149">
        <v>360</v>
      </c>
      <c r="K149">
        <v>1</v>
      </c>
      <c r="L149" t="s">
        <v>646</v>
      </c>
      <c r="M149" t="s">
        <v>637</v>
      </c>
      <c r="N149">
        <f t="shared" si="5"/>
        <v>10000</v>
      </c>
    </row>
    <row r="150" spans="1:14" x14ac:dyDescent="0.3">
      <c r="A150" t="s">
        <v>851</v>
      </c>
      <c r="B150" t="s">
        <v>629</v>
      </c>
      <c r="C150" t="s">
        <v>635</v>
      </c>
      <c r="D150" t="s">
        <v>645</v>
      </c>
      <c r="E150" t="s">
        <v>631</v>
      </c>
      <c r="F150" t="s">
        <v>630</v>
      </c>
      <c r="G150">
        <v>3430</v>
      </c>
      <c r="H150">
        <v>1250</v>
      </c>
      <c r="I150">
        <v>128</v>
      </c>
      <c r="J150">
        <v>360</v>
      </c>
      <c r="K150">
        <v>0</v>
      </c>
      <c r="L150" t="s">
        <v>646</v>
      </c>
      <c r="M150" t="s">
        <v>637</v>
      </c>
      <c r="N150">
        <f t="shared" si="5"/>
        <v>4680</v>
      </c>
    </row>
    <row r="151" spans="1:14" x14ac:dyDescent="0.3">
      <c r="A151" t="s">
        <v>852</v>
      </c>
      <c r="B151" t="s">
        <v>629</v>
      </c>
      <c r="C151" t="s">
        <v>635</v>
      </c>
      <c r="D151">
        <v>1</v>
      </c>
      <c r="E151" t="s">
        <v>631</v>
      </c>
      <c r="F151" t="s">
        <v>635</v>
      </c>
      <c r="G151">
        <v>7787</v>
      </c>
      <c r="H151">
        <v>0</v>
      </c>
      <c r="I151">
        <v>240</v>
      </c>
      <c r="J151">
        <v>360</v>
      </c>
      <c r="K151">
        <v>1</v>
      </c>
      <c r="L151" t="s">
        <v>632</v>
      </c>
      <c r="M151" t="s">
        <v>633</v>
      </c>
      <c r="N151">
        <f t="shared" si="5"/>
        <v>7787</v>
      </c>
    </row>
    <row r="152" spans="1:14" x14ac:dyDescent="0.3">
      <c r="A152" t="s">
        <v>853</v>
      </c>
      <c r="B152" t="s">
        <v>629</v>
      </c>
      <c r="C152" t="s">
        <v>635</v>
      </c>
      <c r="D152" t="s">
        <v>645</v>
      </c>
      <c r="E152" t="s">
        <v>640</v>
      </c>
      <c r="F152" t="s">
        <v>635</v>
      </c>
      <c r="G152">
        <v>5703</v>
      </c>
      <c r="H152">
        <v>0</v>
      </c>
      <c r="I152">
        <v>130</v>
      </c>
      <c r="J152">
        <v>360</v>
      </c>
      <c r="K152">
        <v>1</v>
      </c>
      <c r="L152" t="s">
        <v>636</v>
      </c>
      <c r="M152" t="s">
        <v>633</v>
      </c>
      <c r="N152">
        <f t="shared" si="5"/>
        <v>5703</v>
      </c>
    </row>
    <row r="153" spans="1:14" x14ac:dyDescent="0.3">
      <c r="A153" t="s">
        <v>854</v>
      </c>
      <c r="B153" t="s">
        <v>629</v>
      </c>
      <c r="C153" t="s">
        <v>635</v>
      </c>
      <c r="D153">
        <v>0</v>
      </c>
      <c r="E153" t="s">
        <v>631</v>
      </c>
      <c r="F153" t="s">
        <v>630</v>
      </c>
      <c r="G153">
        <v>3173</v>
      </c>
      <c r="H153">
        <v>3021</v>
      </c>
      <c r="I153">
        <v>137</v>
      </c>
      <c r="J153">
        <v>360</v>
      </c>
      <c r="K153">
        <v>1</v>
      </c>
      <c r="L153" t="s">
        <v>632</v>
      </c>
      <c r="M153" t="s">
        <v>633</v>
      </c>
      <c r="N153">
        <f t="shared" si="5"/>
        <v>6194</v>
      </c>
    </row>
    <row r="154" spans="1:14" x14ac:dyDescent="0.3">
      <c r="A154" t="s">
        <v>855</v>
      </c>
      <c r="B154" t="s">
        <v>629</v>
      </c>
      <c r="C154" t="s">
        <v>635</v>
      </c>
      <c r="D154" t="s">
        <v>645</v>
      </c>
      <c r="E154" t="s">
        <v>640</v>
      </c>
      <c r="F154" t="s">
        <v>630</v>
      </c>
      <c r="G154">
        <v>3850</v>
      </c>
      <c r="H154">
        <v>983</v>
      </c>
      <c r="I154">
        <v>100</v>
      </c>
      <c r="J154">
        <v>360</v>
      </c>
      <c r="K154">
        <v>1</v>
      </c>
      <c r="L154" t="s">
        <v>646</v>
      </c>
      <c r="M154" t="s">
        <v>633</v>
      </c>
      <c r="N154">
        <f t="shared" si="5"/>
        <v>4833</v>
      </c>
    </row>
    <row r="155" spans="1:14" x14ac:dyDescent="0.3">
      <c r="A155" t="s">
        <v>856</v>
      </c>
      <c r="B155" t="s">
        <v>629</v>
      </c>
      <c r="C155" t="s">
        <v>635</v>
      </c>
      <c r="D155">
        <v>0</v>
      </c>
      <c r="E155" t="s">
        <v>631</v>
      </c>
      <c r="F155" t="s">
        <v>630</v>
      </c>
      <c r="G155">
        <v>150</v>
      </c>
      <c r="H155">
        <v>1800</v>
      </c>
      <c r="I155">
        <v>135</v>
      </c>
      <c r="J155">
        <v>360</v>
      </c>
      <c r="K155">
        <v>1</v>
      </c>
      <c r="L155" t="s">
        <v>636</v>
      </c>
      <c r="M155" t="s">
        <v>637</v>
      </c>
      <c r="N155">
        <f t="shared" si="5"/>
        <v>1950</v>
      </c>
    </row>
    <row r="156" spans="1:14" x14ac:dyDescent="0.3">
      <c r="A156" t="s">
        <v>857</v>
      </c>
      <c r="B156" t="s">
        <v>629</v>
      </c>
      <c r="C156" t="s">
        <v>635</v>
      </c>
      <c r="D156">
        <v>0</v>
      </c>
      <c r="E156" t="s">
        <v>631</v>
      </c>
      <c r="F156" t="s">
        <v>630</v>
      </c>
      <c r="G156">
        <v>3727</v>
      </c>
      <c r="H156">
        <v>1775</v>
      </c>
      <c r="I156">
        <v>131</v>
      </c>
      <c r="J156">
        <v>360</v>
      </c>
      <c r="K156">
        <v>1</v>
      </c>
      <c r="L156" t="s">
        <v>646</v>
      </c>
      <c r="M156" t="s">
        <v>633</v>
      </c>
      <c r="N156">
        <f t="shared" si="5"/>
        <v>5502</v>
      </c>
    </row>
    <row r="157" spans="1:14" x14ac:dyDescent="0.3">
      <c r="A157" t="s">
        <v>860</v>
      </c>
      <c r="B157" t="s">
        <v>629</v>
      </c>
      <c r="C157" t="s">
        <v>635</v>
      </c>
      <c r="D157">
        <v>0</v>
      </c>
      <c r="E157" t="s">
        <v>631</v>
      </c>
      <c r="F157" t="s">
        <v>630</v>
      </c>
      <c r="G157">
        <v>2221</v>
      </c>
      <c r="H157">
        <v>0</v>
      </c>
      <c r="I157">
        <v>60</v>
      </c>
      <c r="J157">
        <v>360</v>
      </c>
      <c r="K157">
        <v>0</v>
      </c>
      <c r="L157" t="s">
        <v>632</v>
      </c>
      <c r="M157" t="s">
        <v>637</v>
      </c>
      <c r="N157">
        <f t="shared" si="5"/>
        <v>2221</v>
      </c>
    </row>
    <row r="158" spans="1:14" x14ac:dyDescent="0.3">
      <c r="A158" t="s">
        <v>861</v>
      </c>
      <c r="B158" t="s">
        <v>629</v>
      </c>
      <c r="C158" t="s">
        <v>635</v>
      </c>
      <c r="D158">
        <v>2</v>
      </c>
      <c r="E158" t="s">
        <v>631</v>
      </c>
      <c r="F158" t="s">
        <v>630</v>
      </c>
      <c r="G158">
        <v>4009</v>
      </c>
      <c r="H158">
        <v>1717</v>
      </c>
      <c r="I158">
        <v>116</v>
      </c>
      <c r="J158">
        <v>360</v>
      </c>
      <c r="K158">
        <v>1</v>
      </c>
      <c r="L158" t="s">
        <v>646</v>
      </c>
      <c r="M158" t="s">
        <v>633</v>
      </c>
      <c r="N158">
        <f t="shared" si="5"/>
        <v>5726</v>
      </c>
    </row>
    <row r="159" spans="1:14" x14ac:dyDescent="0.3">
      <c r="A159" t="s">
        <v>862</v>
      </c>
      <c r="B159" t="s">
        <v>629</v>
      </c>
      <c r="C159" t="s">
        <v>630</v>
      </c>
      <c r="D159">
        <v>0</v>
      </c>
      <c r="E159" t="s">
        <v>631</v>
      </c>
      <c r="F159" t="s">
        <v>630</v>
      </c>
      <c r="G159">
        <v>2971</v>
      </c>
      <c r="H159">
        <v>2791</v>
      </c>
      <c r="I159">
        <v>144</v>
      </c>
      <c r="J159">
        <v>360</v>
      </c>
      <c r="K159">
        <v>1</v>
      </c>
      <c r="L159" t="s">
        <v>646</v>
      </c>
      <c r="M159" t="s">
        <v>633</v>
      </c>
      <c r="N159">
        <f t="shared" si="5"/>
        <v>5762</v>
      </c>
    </row>
    <row r="160" spans="1:14" x14ac:dyDescent="0.3">
      <c r="A160" t="s">
        <v>864</v>
      </c>
      <c r="B160" t="s">
        <v>629</v>
      </c>
      <c r="C160" t="s">
        <v>635</v>
      </c>
      <c r="D160">
        <v>0</v>
      </c>
      <c r="E160" t="s">
        <v>631</v>
      </c>
      <c r="F160" t="s">
        <v>630</v>
      </c>
      <c r="G160">
        <v>6250</v>
      </c>
      <c r="H160">
        <v>0</v>
      </c>
      <c r="I160">
        <v>128</v>
      </c>
      <c r="J160">
        <v>360</v>
      </c>
      <c r="K160">
        <v>1</v>
      </c>
      <c r="L160" t="s">
        <v>646</v>
      </c>
      <c r="M160" t="s">
        <v>633</v>
      </c>
      <c r="N160">
        <f t="shared" si="5"/>
        <v>6250</v>
      </c>
    </row>
    <row r="161" spans="1:14" x14ac:dyDescent="0.3">
      <c r="A161" t="s">
        <v>865</v>
      </c>
      <c r="B161" t="s">
        <v>629</v>
      </c>
      <c r="C161" t="s">
        <v>635</v>
      </c>
      <c r="D161">
        <v>0</v>
      </c>
      <c r="E161" t="s">
        <v>631</v>
      </c>
      <c r="F161" t="s">
        <v>630</v>
      </c>
      <c r="G161">
        <v>3250</v>
      </c>
      <c r="H161">
        <v>0</v>
      </c>
      <c r="I161">
        <v>170</v>
      </c>
      <c r="J161">
        <v>360</v>
      </c>
      <c r="K161">
        <v>1</v>
      </c>
      <c r="L161" t="s">
        <v>636</v>
      </c>
      <c r="M161" t="s">
        <v>637</v>
      </c>
      <c r="N161">
        <f t="shared" si="5"/>
        <v>3250</v>
      </c>
    </row>
    <row r="162" spans="1:14" x14ac:dyDescent="0.3">
      <c r="A162" t="s">
        <v>867</v>
      </c>
      <c r="B162" t="s">
        <v>629</v>
      </c>
      <c r="C162" t="s">
        <v>635</v>
      </c>
      <c r="D162">
        <v>2</v>
      </c>
      <c r="E162" t="s">
        <v>631</v>
      </c>
      <c r="F162" t="s">
        <v>630</v>
      </c>
      <c r="G162">
        <v>6250</v>
      </c>
      <c r="H162">
        <v>1695</v>
      </c>
      <c r="I162">
        <v>210</v>
      </c>
      <c r="J162">
        <v>360</v>
      </c>
      <c r="K162">
        <v>1</v>
      </c>
      <c r="L162" t="s">
        <v>646</v>
      </c>
      <c r="M162" t="s">
        <v>633</v>
      </c>
      <c r="N162">
        <f t="shared" si="5"/>
        <v>7945</v>
      </c>
    </row>
    <row r="163" spans="1:14" x14ac:dyDescent="0.3">
      <c r="A163" t="s">
        <v>869</v>
      </c>
      <c r="B163" t="s">
        <v>629</v>
      </c>
      <c r="C163" t="s">
        <v>630</v>
      </c>
      <c r="D163">
        <v>0</v>
      </c>
      <c r="E163" t="s">
        <v>631</v>
      </c>
      <c r="F163" t="s">
        <v>635</v>
      </c>
      <c r="G163">
        <v>6400</v>
      </c>
      <c r="H163">
        <v>0</v>
      </c>
      <c r="I163">
        <v>200</v>
      </c>
      <c r="J163">
        <v>360</v>
      </c>
      <c r="K163">
        <v>1</v>
      </c>
      <c r="L163" t="s">
        <v>636</v>
      </c>
      <c r="M163" t="s">
        <v>633</v>
      </c>
      <c r="N163">
        <f t="shared" si="5"/>
        <v>6400</v>
      </c>
    </row>
    <row r="164" spans="1:14" x14ac:dyDescent="0.3">
      <c r="A164" t="s">
        <v>870</v>
      </c>
      <c r="B164" t="s">
        <v>629</v>
      </c>
      <c r="C164" t="s">
        <v>635</v>
      </c>
      <c r="D164">
        <v>1</v>
      </c>
      <c r="E164" t="s">
        <v>631</v>
      </c>
      <c r="F164" t="s">
        <v>630</v>
      </c>
      <c r="G164">
        <v>2491</v>
      </c>
      <c r="H164">
        <v>2054</v>
      </c>
      <c r="I164">
        <v>104</v>
      </c>
      <c r="J164">
        <v>360</v>
      </c>
      <c r="K164">
        <v>1</v>
      </c>
      <c r="L164" t="s">
        <v>646</v>
      </c>
      <c r="M164" t="s">
        <v>633</v>
      </c>
      <c r="N164">
        <f t="shared" si="5"/>
        <v>4545</v>
      </c>
    </row>
    <row r="165" spans="1:14" x14ac:dyDescent="0.3">
      <c r="A165" t="s">
        <v>874</v>
      </c>
      <c r="B165" t="s">
        <v>629</v>
      </c>
      <c r="C165" t="s">
        <v>635</v>
      </c>
      <c r="D165">
        <v>1</v>
      </c>
      <c r="E165" t="s">
        <v>631</v>
      </c>
      <c r="F165" t="s">
        <v>630</v>
      </c>
      <c r="G165">
        <v>3155</v>
      </c>
      <c r="H165">
        <v>1779</v>
      </c>
      <c r="I165">
        <v>140</v>
      </c>
      <c r="J165">
        <v>360</v>
      </c>
      <c r="K165">
        <v>1</v>
      </c>
      <c r="L165" t="s">
        <v>646</v>
      </c>
      <c r="M165" t="s">
        <v>633</v>
      </c>
      <c r="N165">
        <f t="shared" si="5"/>
        <v>4934</v>
      </c>
    </row>
    <row r="166" spans="1:14" x14ac:dyDescent="0.3">
      <c r="A166" t="s">
        <v>875</v>
      </c>
      <c r="B166" t="s">
        <v>629</v>
      </c>
      <c r="C166" t="s">
        <v>635</v>
      </c>
      <c r="D166">
        <v>1</v>
      </c>
      <c r="E166" t="s">
        <v>631</v>
      </c>
      <c r="F166" t="s">
        <v>630</v>
      </c>
      <c r="G166">
        <v>5500</v>
      </c>
      <c r="H166">
        <v>1260</v>
      </c>
      <c r="I166">
        <v>170</v>
      </c>
      <c r="J166">
        <v>360</v>
      </c>
      <c r="K166">
        <v>1</v>
      </c>
      <c r="L166" t="s">
        <v>636</v>
      </c>
      <c r="M166" t="s">
        <v>633</v>
      </c>
      <c r="N166">
        <f t="shared" si="5"/>
        <v>6760</v>
      </c>
    </row>
    <row r="167" spans="1:14" x14ac:dyDescent="0.3">
      <c r="A167" t="s">
        <v>878</v>
      </c>
      <c r="B167" t="s">
        <v>657</v>
      </c>
      <c r="C167" t="s">
        <v>630</v>
      </c>
      <c r="D167">
        <v>1</v>
      </c>
      <c r="E167" t="s">
        <v>631</v>
      </c>
      <c r="F167" t="s">
        <v>630</v>
      </c>
      <c r="G167">
        <v>3812</v>
      </c>
      <c r="H167">
        <v>0</v>
      </c>
      <c r="I167">
        <v>112</v>
      </c>
      <c r="J167">
        <v>360</v>
      </c>
      <c r="K167">
        <v>1</v>
      </c>
      <c r="L167" t="s">
        <v>636</v>
      </c>
      <c r="M167" t="s">
        <v>633</v>
      </c>
      <c r="N167">
        <f t="shared" si="5"/>
        <v>3812</v>
      </c>
    </row>
    <row r="168" spans="1:14" x14ac:dyDescent="0.3">
      <c r="A168" t="s">
        <v>879</v>
      </c>
      <c r="B168" t="s">
        <v>629</v>
      </c>
      <c r="C168" t="s">
        <v>635</v>
      </c>
      <c r="D168">
        <v>1</v>
      </c>
      <c r="E168" t="s">
        <v>631</v>
      </c>
      <c r="F168" t="s">
        <v>630</v>
      </c>
      <c r="G168">
        <v>3315</v>
      </c>
      <c r="H168">
        <v>0</v>
      </c>
      <c r="I168">
        <v>96</v>
      </c>
      <c r="J168">
        <v>360</v>
      </c>
      <c r="K168">
        <v>1</v>
      </c>
      <c r="L168" t="s">
        <v>646</v>
      </c>
      <c r="M168" t="s">
        <v>633</v>
      </c>
      <c r="N168">
        <f t="shared" si="5"/>
        <v>3315</v>
      </c>
    </row>
    <row r="169" spans="1:14" x14ac:dyDescent="0.3">
      <c r="A169" t="s">
        <v>880</v>
      </c>
      <c r="B169" t="s">
        <v>629</v>
      </c>
      <c r="C169" t="s">
        <v>635</v>
      </c>
      <c r="D169">
        <v>2</v>
      </c>
      <c r="E169" t="s">
        <v>631</v>
      </c>
      <c r="F169" t="s">
        <v>630</v>
      </c>
      <c r="G169">
        <v>5819</v>
      </c>
      <c r="H169">
        <v>5000</v>
      </c>
      <c r="I169">
        <v>120</v>
      </c>
      <c r="J169">
        <v>360</v>
      </c>
      <c r="K169">
        <v>1</v>
      </c>
      <c r="L169" t="s">
        <v>636</v>
      </c>
      <c r="M169" t="s">
        <v>633</v>
      </c>
      <c r="N169">
        <f t="shared" si="5"/>
        <v>10819</v>
      </c>
    </row>
    <row r="170" spans="1:14" x14ac:dyDescent="0.3">
      <c r="A170" t="s">
        <v>881</v>
      </c>
      <c r="B170" t="s">
        <v>629</v>
      </c>
      <c r="C170" t="s">
        <v>635</v>
      </c>
      <c r="D170">
        <v>1</v>
      </c>
      <c r="E170" t="s">
        <v>640</v>
      </c>
      <c r="F170" t="s">
        <v>630</v>
      </c>
      <c r="G170">
        <v>2510</v>
      </c>
      <c r="H170">
        <v>1983</v>
      </c>
      <c r="I170">
        <v>140</v>
      </c>
      <c r="J170">
        <v>180</v>
      </c>
      <c r="K170">
        <v>1</v>
      </c>
      <c r="L170" t="s">
        <v>632</v>
      </c>
      <c r="M170" t="s">
        <v>637</v>
      </c>
      <c r="N170">
        <f t="shared" si="5"/>
        <v>4493</v>
      </c>
    </row>
    <row r="171" spans="1:14" x14ac:dyDescent="0.3">
      <c r="A171" t="s">
        <v>882</v>
      </c>
      <c r="B171" t="s">
        <v>629</v>
      </c>
      <c r="C171" t="s">
        <v>630</v>
      </c>
      <c r="D171">
        <v>0</v>
      </c>
      <c r="E171" t="s">
        <v>631</v>
      </c>
      <c r="F171" t="s">
        <v>630</v>
      </c>
      <c r="G171">
        <v>2965</v>
      </c>
      <c r="H171">
        <v>5701</v>
      </c>
      <c r="I171">
        <v>155</v>
      </c>
      <c r="J171">
        <v>60</v>
      </c>
      <c r="K171">
        <v>1</v>
      </c>
      <c r="L171" t="s">
        <v>632</v>
      </c>
      <c r="M171" t="s">
        <v>633</v>
      </c>
      <c r="N171">
        <f t="shared" si="5"/>
        <v>8666</v>
      </c>
    </row>
    <row r="172" spans="1:14" x14ac:dyDescent="0.3">
      <c r="A172" t="s">
        <v>883</v>
      </c>
      <c r="B172" t="s">
        <v>629</v>
      </c>
      <c r="C172" t="s">
        <v>635</v>
      </c>
      <c r="D172">
        <v>2</v>
      </c>
      <c r="E172" t="s">
        <v>631</v>
      </c>
      <c r="F172" t="s">
        <v>635</v>
      </c>
      <c r="G172">
        <v>6250</v>
      </c>
      <c r="H172">
        <v>1300</v>
      </c>
      <c r="I172">
        <v>108</v>
      </c>
      <c r="J172">
        <v>360</v>
      </c>
      <c r="K172">
        <v>1</v>
      </c>
      <c r="L172" t="s">
        <v>636</v>
      </c>
      <c r="M172" t="s">
        <v>633</v>
      </c>
      <c r="N172">
        <f t="shared" si="5"/>
        <v>7550</v>
      </c>
    </row>
    <row r="173" spans="1:14" x14ac:dyDescent="0.3">
      <c r="A173" t="s">
        <v>884</v>
      </c>
      <c r="B173" t="s">
        <v>629</v>
      </c>
      <c r="C173" t="s">
        <v>635</v>
      </c>
      <c r="D173">
        <v>0</v>
      </c>
      <c r="E173" t="s">
        <v>640</v>
      </c>
      <c r="F173" t="s">
        <v>630</v>
      </c>
      <c r="G173">
        <v>3406</v>
      </c>
      <c r="H173">
        <v>4417</v>
      </c>
      <c r="I173">
        <v>123</v>
      </c>
      <c r="J173">
        <v>360</v>
      </c>
      <c r="K173">
        <v>1</v>
      </c>
      <c r="L173" t="s">
        <v>646</v>
      </c>
      <c r="M173" t="s">
        <v>633</v>
      </c>
      <c r="N173">
        <f t="shared" si="5"/>
        <v>7823</v>
      </c>
    </row>
    <row r="174" spans="1:14" x14ac:dyDescent="0.3">
      <c r="A174" t="s">
        <v>885</v>
      </c>
      <c r="B174" t="s">
        <v>629</v>
      </c>
      <c r="C174" t="s">
        <v>630</v>
      </c>
      <c r="D174">
        <v>0</v>
      </c>
      <c r="E174" t="s">
        <v>631</v>
      </c>
      <c r="F174" t="s">
        <v>635</v>
      </c>
      <c r="G174">
        <v>6050</v>
      </c>
      <c r="H174">
        <v>4333</v>
      </c>
      <c r="I174">
        <v>120</v>
      </c>
      <c r="J174">
        <v>180</v>
      </c>
      <c r="K174">
        <v>1</v>
      </c>
      <c r="L174" t="s">
        <v>632</v>
      </c>
      <c r="M174" t="s">
        <v>637</v>
      </c>
      <c r="N174">
        <f t="shared" si="5"/>
        <v>10383</v>
      </c>
    </row>
    <row r="175" spans="1:14" x14ac:dyDescent="0.3">
      <c r="A175" t="s">
        <v>886</v>
      </c>
      <c r="B175" t="s">
        <v>629</v>
      </c>
      <c r="C175" t="s">
        <v>635</v>
      </c>
      <c r="D175">
        <v>2</v>
      </c>
      <c r="E175" t="s">
        <v>631</v>
      </c>
      <c r="F175" t="s">
        <v>630</v>
      </c>
      <c r="G175">
        <v>9703</v>
      </c>
      <c r="H175">
        <v>0</v>
      </c>
      <c r="I175">
        <v>112</v>
      </c>
      <c r="J175">
        <v>360</v>
      </c>
      <c r="K175">
        <v>1</v>
      </c>
      <c r="L175" t="s">
        <v>632</v>
      </c>
      <c r="M175" t="s">
        <v>633</v>
      </c>
      <c r="N175">
        <f t="shared" si="5"/>
        <v>9703</v>
      </c>
    </row>
    <row r="176" spans="1:14" x14ac:dyDescent="0.3">
      <c r="A176" t="s">
        <v>887</v>
      </c>
      <c r="B176" t="s">
        <v>629</v>
      </c>
      <c r="C176" t="s">
        <v>635</v>
      </c>
      <c r="D176">
        <v>1</v>
      </c>
      <c r="E176" t="s">
        <v>640</v>
      </c>
      <c r="F176" t="s">
        <v>630</v>
      </c>
      <c r="G176">
        <v>6608</v>
      </c>
      <c r="H176">
        <v>0</v>
      </c>
      <c r="I176">
        <v>137</v>
      </c>
      <c r="J176">
        <v>180</v>
      </c>
      <c r="K176">
        <v>1</v>
      </c>
      <c r="L176" t="s">
        <v>632</v>
      </c>
      <c r="M176" t="s">
        <v>633</v>
      </c>
      <c r="N176">
        <f t="shared" si="5"/>
        <v>6608</v>
      </c>
    </row>
    <row r="177" spans="1:14" x14ac:dyDescent="0.3">
      <c r="A177" t="s">
        <v>888</v>
      </c>
      <c r="B177" t="s">
        <v>629</v>
      </c>
      <c r="C177" t="s">
        <v>635</v>
      </c>
      <c r="D177">
        <v>1</v>
      </c>
      <c r="E177" t="s">
        <v>631</v>
      </c>
      <c r="F177" t="s">
        <v>630</v>
      </c>
      <c r="G177">
        <v>2882</v>
      </c>
      <c r="H177">
        <v>1843</v>
      </c>
      <c r="I177">
        <v>123</v>
      </c>
      <c r="J177">
        <v>480</v>
      </c>
      <c r="K177">
        <v>1</v>
      </c>
      <c r="L177" t="s">
        <v>646</v>
      </c>
      <c r="M177" t="s">
        <v>633</v>
      </c>
      <c r="N177">
        <f t="shared" si="5"/>
        <v>4725</v>
      </c>
    </row>
    <row r="178" spans="1:14" x14ac:dyDescent="0.3">
      <c r="A178" t="s">
        <v>889</v>
      </c>
      <c r="B178" t="s">
        <v>629</v>
      </c>
      <c r="C178" t="s">
        <v>635</v>
      </c>
      <c r="D178">
        <v>0</v>
      </c>
      <c r="E178" t="s">
        <v>631</v>
      </c>
      <c r="F178" t="s">
        <v>630</v>
      </c>
      <c r="G178">
        <v>1809</v>
      </c>
      <c r="H178">
        <v>1868</v>
      </c>
      <c r="I178">
        <v>90</v>
      </c>
      <c r="J178">
        <v>360</v>
      </c>
      <c r="K178">
        <v>1</v>
      </c>
      <c r="L178" t="s">
        <v>632</v>
      </c>
      <c r="M178" t="s">
        <v>633</v>
      </c>
      <c r="N178">
        <f t="shared" si="5"/>
        <v>3677</v>
      </c>
    </row>
    <row r="179" spans="1:14" x14ac:dyDescent="0.3">
      <c r="A179" t="s">
        <v>890</v>
      </c>
      <c r="B179" t="s">
        <v>629</v>
      </c>
      <c r="C179" t="s">
        <v>635</v>
      </c>
      <c r="D179">
        <v>0</v>
      </c>
      <c r="E179" t="s">
        <v>640</v>
      </c>
      <c r="F179" t="s">
        <v>630</v>
      </c>
      <c r="G179">
        <v>1668</v>
      </c>
      <c r="H179">
        <v>3890</v>
      </c>
      <c r="I179">
        <v>201</v>
      </c>
      <c r="J179">
        <v>360</v>
      </c>
      <c r="K179">
        <v>0</v>
      </c>
      <c r="L179" t="s">
        <v>646</v>
      </c>
      <c r="M179" t="s">
        <v>637</v>
      </c>
      <c r="N179">
        <f t="shared" si="5"/>
        <v>5558</v>
      </c>
    </row>
    <row r="180" spans="1:14" x14ac:dyDescent="0.3">
      <c r="A180" t="s">
        <v>891</v>
      </c>
      <c r="B180" t="s">
        <v>657</v>
      </c>
      <c r="C180" t="s">
        <v>630</v>
      </c>
      <c r="D180">
        <v>2</v>
      </c>
      <c r="E180" t="s">
        <v>631</v>
      </c>
      <c r="F180" t="s">
        <v>630</v>
      </c>
      <c r="G180">
        <v>3427</v>
      </c>
      <c r="H180">
        <v>0</v>
      </c>
      <c r="I180">
        <v>138</v>
      </c>
      <c r="J180">
        <v>360</v>
      </c>
      <c r="K180">
        <v>1</v>
      </c>
      <c r="L180" t="s">
        <v>632</v>
      </c>
      <c r="M180" t="s">
        <v>637</v>
      </c>
      <c r="N180">
        <f t="shared" si="5"/>
        <v>3427</v>
      </c>
    </row>
    <row r="181" spans="1:14" x14ac:dyDescent="0.3">
      <c r="A181" t="s">
        <v>892</v>
      </c>
      <c r="B181" t="s">
        <v>629</v>
      </c>
      <c r="C181" t="s">
        <v>630</v>
      </c>
      <c r="D181">
        <v>0</v>
      </c>
      <c r="E181" t="s">
        <v>640</v>
      </c>
      <c r="F181" t="s">
        <v>635</v>
      </c>
      <c r="G181">
        <v>2583</v>
      </c>
      <c r="H181">
        <v>2167</v>
      </c>
      <c r="I181">
        <v>104</v>
      </c>
      <c r="J181">
        <v>360</v>
      </c>
      <c r="K181">
        <v>1</v>
      </c>
      <c r="L181" t="s">
        <v>636</v>
      </c>
      <c r="M181" t="s">
        <v>633</v>
      </c>
      <c r="N181">
        <f t="shared" si="5"/>
        <v>4750</v>
      </c>
    </row>
    <row r="182" spans="1:14" x14ac:dyDescent="0.3">
      <c r="A182" t="s">
        <v>894</v>
      </c>
      <c r="B182" t="s">
        <v>629</v>
      </c>
      <c r="C182" t="s">
        <v>630</v>
      </c>
      <c r="D182">
        <v>0</v>
      </c>
      <c r="E182" t="s">
        <v>631</v>
      </c>
      <c r="F182" t="s">
        <v>635</v>
      </c>
      <c r="G182">
        <v>16250</v>
      </c>
      <c r="H182">
        <v>0</v>
      </c>
      <c r="I182">
        <v>192</v>
      </c>
      <c r="J182">
        <v>360</v>
      </c>
      <c r="K182">
        <v>0</v>
      </c>
      <c r="L182" t="s">
        <v>632</v>
      </c>
      <c r="M182" t="s">
        <v>637</v>
      </c>
      <c r="N182">
        <f t="shared" si="5"/>
        <v>16250</v>
      </c>
    </row>
    <row r="183" spans="1:14" x14ac:dyDescent="0.3">
      <c r="A183" t="s">
        <v>895</v>
      </c>
      <c r="B183" t="s">
        <v>657</v>
      </c>
      <c r="C183" t="s">
        <v>630</v>
      </c>
      <c r="D183" t="s">
        <v>645</v>
      </c>
      <c r="E183" t="s">
        <v>631</v>
      </c>
      <c r="F183" t="s">
        <v>630</v>
      </c>
      <c r="G183">
        <v>3083</v>
      </c>
      <c r="H183">
        <v>0</v>
      </c>
      <c r="I183">
        <v>255</v>
      </c>
      <c r="J183">
        <v>360</v>
      </c>
      <c r="K183">
        <v>1</v>
      </c>
      <c r="L183" t="s">
        <v>636</v>
      </c>
      <c r="M183" t="s">
        <v>633</v>
      </c>
      <c r="N183">
        <f t="shared" si="5"/>
        <v>3083</v>
      </c>
    </row>
    <row r="184" spans="1:14" x14ac:dyDescent="0.3">
      <c r="A184" t="s">
        <v>896</v>
      </c>
      <c r="B184" t="s">
        <v>629</v>
      </c>
      <c r="C184" t="s">
        <v>630</v>
      </c>
      <c r="D184">
        <v>0</v>
      </c>
      <c r="E184" t="s">
        <v>640</v>
      </c>
      <c r="F184" t="s">
        <v>630</v>
      </c>
      <c r="G184">
        <v>6045</v>
      </c>
      <c r="H184">
        <v>0</v>
      </c>
      <c r="I184">
        <v>115</v>
      </c>
      <c r="J184">
        <v>360</v>
      </c>
      <c r="K184">
        <v>0</v>
      </c>
      <c r="L184" t="s">
        <v>636</v>
      </c>
      <c r="M184" t="s">
        <v>637</v>
      </c>
      <c r="N184">
        <f t="shared" si="5"/>
        <v>6045</v>
      </c>
    </row>
    <row r="185" spans="1:14" x14ac:dyDescent="0.3">
      <c r="A185" t="s">
        <v>897</v>
      </c>
      <c r="B185" t="s">
        <v>629</v>
      </c>
      <c r="C185" t="s">
        <v>635</v>
      </c>
      <c r="D185" t="s">
        <v>645</v>
      </c>
      <c r="E185" t="s">
        <v>631</v>
      </c>
      <c r="F185" t="s">
        <v>630</v>
      </c>
      <c r="G185">
        <v>5250</v>
      </c>
      <c r="H185">
        <v>0</v>
      </c>
      <c r="I185">
        <v>94</v>
      </c>
      <c r="J185">
        <v>360</v>
      </c>
      <c r="K185">
        <v>1</v>
      </c>
      <c r="L185" t="s">
        <v>632</v>
      </c>
      <c r="M185" t="s">
        <v>637</v>
      </c>
      <c r="N185">
        <f t="shared" si="5"/>
        <v>5250</v>
      </c>
    </row>
    <row r="186" spans="1:14" x14ac:dyDescent="0.3">
      <c r="A186" t="s">
        <v>901</v>
      </c>
      <c r="B186" t="s">
        <v>629</v>
      </c>
      <c r="C186" t="s">
        <v>630</v>
      </c>
      <c r="D186">
        <v>0</v>
      </c>
      <c r="E186" t="s">
        <v>631</v>
      </c>
      <c r="F186" t="s">
        <v>630</v>
      </c>
      <c r="G186">
        <v>2060</v>
      </c>
      <c r="H186">
        <v>2209</v>
      </c>
      <c r="I186">
        <v>134</v>
      </c>
      <c r="J186">
        <v>360</v>
      </c>
      <c r="K186">
        <v>1</v>
      </c>
      <c r="L186" t="s">
        <v>646</v>
      </c>
      <c r="M186" t="s">
        <v>633</v>
      </c>
      <c r="N186">
        <f t="shared" si="5"/>
        <v>4269</v>
      </c>
    </row>
    <row r="187" spans="1:14" x14ac:dyDescent="0.3">
      <c r="A187" t="s">
        <v>902</v>
      </c>
      <c r="B187" t="s">
        <v>657</v>
      </c>
      <c r="C187" t="s">
        <v>630</v>
      </c>
      <c r="D187">
        <v>1</v>
      </c>
      <c r="E187" t="s">
        <v>631</v>
      </c>
      <c r="F187" t="s">
        <v>630</v>
      </c>
      <c r="G187">
        <v>3481</v>
      </c>
      <c r="H187">
        <v>0</v>
      </c>
      <c r="I187">
        <v>155</v>
      </c>
      <c r="J187">
        <v>36</v>
      </c>
      <c r="K187">
        <v>1</v>
      </c>
      <c r="L187" t="s">
        <v>646</v>
      </c>
      <c r="M187" t="s">
        <v>637</v>
      </c>
      <c r="N187">
        <f t="shared" si="5"/>
        <v>3481</v>
      </c>
    </row>
    <row r="188" spans="1:14" x14ac:dyDescent="0.3">
      <c r="A188" t="s">
        <v>903</v>
      </c>
      <c r="B188" t="s">
        <v>657</v>
      </c>
      <c r="C188" t="s">
        <v>630</v>
      </c>
      <c r="D188">
        <v>0</v>
      </c>
      <c r="E188" t="s">
        <v>631</v>
      </c>
      <c r="F188" t="s">
        <v>630</v>
      </c>
      <c r="G188">
        <v>7200</v>
      </c>
      <c r="H188">
        <v>0</v>
      </c>
      <c r="I188">
        <v>120</v>
      </c>
      <c r="J188">
        <v>360</v>
      </c>
      <c r="K188">
        <v>1</v>
      </c>
      <c r="L188" t="s">
        <v>636</v>
      </c>
      <c r="M188" t="s">
        <v>633</v>
      </c>
      <c r="N188">
        <f t="shared" si="5"/>
        <v>7200</v>
      </c>
    </row>
    <row r="189" spans="1:14" x14ac:dyDescent="0.3">
      <c r="A189" t="s">
        <v>904</v>
      </c>
      <c r="B189" t="s">
        <v>629</v>
      </c>
      <c r="C189" t="s">
        <v>630</v>
      </c>
      <c r="D189">
        <v>0</v>
      </c>
      <c r="E189" t="s">
        <v>631</v>
      </c>
      <c r="F189" t="s">
        <v>635</v>
      </c>
      <c r="G189">
        <v>5166</v>
      </c>
      <c r="H189">
        <v>0</v>
      </c>
      <c r="I189">
        <v>128</v>
      </c>
      <c r="J189">
        <v>360</v>
      </c>
      <c r="K189">
        <v>1</v>
      </c>
      <c r="L189" t="s">
        <v>646</v>
      </c>
      <c r="M189" t="s">
        <v>633</v>
      </c>
      <c r="N189">
        <f t="shared" si="5"/>
        <v>5166</v>
      </c>
    </row>
    <row r="190" spans="1:14" x14ac:dyDescent="0.3">
      <c r="A190" t="s">
        <v>905</v>
      </c>
      <c r="B190" t="s">
        <v>629</v>
      </c>
      <c r="C190" t="s">
        <v>630</v>
      </c>
      <c r="D190">
        <v>0</v>
      </c>
      <c r="E190" t="s">
        <v>631</v>
      </c>
      <c r="F190" t="s">
        <v>630</v>
      </c>
      <c r="G190">
        <v>4095</v>
      </c>
      <c r="H190">
        <v>3447</v>
      </c>
      <c r="I190">
        <v>151</v>
      </c>
      <c r="J190">
        <v>360</v>
      </c>
      <c r="K190">
        <v>1</v>
      </c>
      <c r="L190" t="s">
        <v>636</v>
      </c>
      <c r="M190" t="s">
        <v>633</v>
      </c>
      <c r="N190">
        <f t="shared" si="5"/>
        <v>7542</v>
      </c>
    </row>
    <row r="191" spans="1:14" x14ac:dyDescent="0.3">
      <c r="A191" t="s">
        <v>906</v>
      </c>
      <c r="B191" t="s">
        <v>629</v>
      </c>
      <c r="C191" t="s">
        <v>635</v>
      </c>
      <c r="D191">
        <v>2</v>
      </c>
      <c r="E191" t="s">
        <v>631</v>
      </c>
      <c r="F191" t="s">
        <v>630</v>
      </c>
      <c r="G191">
        <v>4708</v>
      </c>
      <c r="H191">
        <v>1387</v>
      </c>
      <c r="I191">
        <v>150</v>
      </c>
      <c r="J191">
        <v>360</v>
      </c>
      <c r="K191">
        <v>1</v>
      </c>
      <c r="L191" t="s">
        <v>646</v>
      </c>
      <c r="M191" t="s">
        <v>633</v>
      </c>
      <c r="N191">
        <f t="shared" si="5"/>
        <v>6095</v>
      </c>
    </row>
    <row r="192" spans="1:14" x14ac:dyDescent="0.3">
      <c r="A192" t="s">
        <v>907</v>
      </c>
      <c r="B192" t="s">
        <v>629</v>
      </c>
      <c r="C192" t="s">
        <v>635</v>
      </c>
      <c r="D192" t="s">
        <v>645</v>
      </c>
      <c r="E192" t="s">
        <v>631</v>
      </c>
      <c r="F192" t="s">
        <v>630</v>
      </c>
      <c r="G192">
        <v>4333</v>
      </c>
      <c r="H192">
        <v>1811</v>
      </c>
      <c r="I192">
        <v>160</v>
      </c>
      <c r="J192">
        <v>360</v>
      </c>
      <c r="K192">
        <v>0</v>
      </c>
      <c r="L192" t="s">
        <v>632</v>
      </c>
      <c r="M192" t="s">
        <v>633</v>
      </c>
      <c r="N192">
        <f t="shared" si="5"/>
        <v>6144</v>
      </c>
    </row>
    <row r="193" spans="1:14" x14ac:dyDescent="0.3">
      <c r="A193" t="s">
        <v>909</v>
      </c>
      <c r="B193" t="s">
        <v>657</v>
      </c>
      <c r="C193" t="s">
        <v>630</v>
      </c>
      <c r="D193">
        <v>1</v>
      </c>
      <c r="E193" t="s">
        <v>631</v>
      </c>
      <c r="F193" t="s">
        <v>630</v>
      </c>
      <c r="G193">
        <v>2876</v>
      </c>
      <c r="H193">
        <v>1560</v>
      </c>
      <c r="I193">
        <v>90</v>
      </c>
      <c r="J193">
        <v>360</v>
      </c>
      <c r="K193">
        <v>1</v>
      </c>
      <c r="L193" t="s">
        <v>632</v>
      </c>
      <c r="M193" t="s">
        <v>633</v>
      </c>
      <c r="N193">
        <f t="shared" si="5"/>
        <v>4436</v>
      </c>
    </row>
    <row r="194" spans="1:14" x14ac:dyDescent="0.3">
      <c r="A194" t="s">
        <v>910</v>
      </c>
      <c r="B194" t="s">
        <v>657</v>
      </c>
      <c r="C194" t="s">
        <v>630</v>
      </c>
      <c r="D194">
        <v>0</v>
      </c>
      <c r="E194" t="s">
        <v>631</v>
      </c>
      <c r="F194" t="s">
        <v>630</v>
      </c>
      <c r="G194">
        <v>3237</v>
      </c>
      <c r="H194">
        <v>0</v>
      </c>
      <c r="I194">
        <v>30</v>
      </c>
      <c r="J194">
        <v>360</v>
      </c>
      <c r="K194">
        <v>1</v>
      </c>
      <c r="L194" t="s">
        <v>632</v>
      </c>
      <c r="M194" t="s">
        <v>633</v>
      </c>
      <c r="N194">
        <f t="shared" si="5"/>
        <v>3237</v>
      </c>
    </row>
    <row r="195" spans="1:14" x14ac:dyDescent="0.3">
      <c r="A195" t="s">
        <v>911</v>
      </c>
      <c r="B195" t="s">
        <v>629</v>
      </c>
      <c r="C195" t="s">
        <v>635</v>
      </c>
      <c r="D195">
        <v>0</v>
      </c>
      <c r="E195" t="s">
        <v>631</v>
      </c>
      <c r="F195" t="s">
        <v>630</v>
      </c>
      <c r="G195">
        <v>11146</v>
      </c>
      <c r="H195">
        <v>0</v>
      </c>
      <c r="I195">
        <v>136</v>
      </c>
      <c r="J195">
        <v>360</v>
      </c>
      <c r="K195">
        <v>1</v>
      </c>
      <c r="L195" t="s">
        <v>632</v>
      </c>
      <c r="M195" t="s">
        <v>633</v>
      </c>
      <c r="N195">
        <f t="shared" ref="N195:N258" si="6">G195+H195</f>
        <v>11146</v>
      </c>
    </row>
    <row r="196" spans="1:14" x14ac:dyDescent="0.3">
      <c r="A196" t="s">
        <v>912</v>
      </c>
      <c r="B196" t="s">
        <v>629</v>
      </c>
      <c r="C196" t="s">
        <v>630</v>
      </c>
      <c r="D196">
        <v>0</v>
      </c>
      <c r="E196" t="s">
        <v>631</v>
      </c>
      <c r="F196" t="s">
        <v>630</v>
      </c>
      <c r="G196">
        <v>2833</v>
      </c>
      <c r="H196">
        <v>1857</v>
      </c>
      <c r="I196">
        <v>126</v>
      </c>
      <c r="J196">
        <v>360</v>
      </c>
      <c r="K196">
        <v>1</v>
      </c>
      <c r="L196" t="s">
        <v>636</v>
      </c>
      <c r="M196" t="s">
        <v>633</v>
      </c>
      <c r="N196">
        <f t="shared" si="6"/>
        <v>4690</v>
      </c>
    </row>
    <row r="197" spans="1:14" x14ac:dyDescent="0.3">
      <c r="A197" t="s">
        <v>913</v>
      </c>
      <c r="B197" t="s">
        <v>629</v>
      </c>
      <c r="C197" t="s">
        <v>635</v>
      </c>
      <c r="D197">
        <v>0</v>
      </c>
      <c r="E197" t="s">
        <v>631</v>
      </c>
      <c r="F197" t="s">
        <v>630</v>
      </c>
      <c r="G197">
        <v>2620</v>
      </c>
      <c r="H197">
        <v>2223</v>
      </c>
      <c r="I197">
        <v>150</v>
      </c>
      <c r="J197">
        <v>360</v>
      </c>
      <c r="K197">
        <v>1</v>
      </c>
      <c r="L197" t="s">
        <v>646</v>
      </c>
      <c r="M197" t="s">
        <v>633</v>
      </c>
      <c r="N197">
        <f t="shared" si="6"/>
        <v>4843</v>
      </c>
    </row>
    <row r="198" spans="1:14" x14ac:dyDescent="0.3">
      <c r="A198" t="s">
        <v>914</v>
      </c>
      <c r="B198" t="s">
        <v>629</v>
      </c>
      <c r="C198" t="s">
        <v>635</v>
      </c>
      <c r="D198">
        <v>2</v>
      </c>
      <c r="E198" t="s">
        <v>631</v>
      </c>
      <c r="F198" t="s">
        <v>630</v>
      </c>
      <c r="G198">
        <v>3900</v>
      </c>
      <c r="H198">
        <v>0</v>
      </c>
      <c r="I198">
        <v>90</v>
      </c>
      <c r="J198">
        <v>360</v>
      </c>
      <c r="K198">
        <v>1</v>
      </c>
      <c r="L198" t="s">
        <v>646</v>
      </c>
      <c r="M198" t="s">
        <v>633</v>
      </c>
      <c r="N198">
        <f t="shared" si="6"/>
        <v>3900</v>
      </c>
    </row>
    <row r="199" spans="1:14" x14ac:dyDescent="0.3">
      <c r="A199" t="s">
        <v>915</v>
      </c>
      <c r="B199" t="s">
        <v>629</v>
      </c>
      <c r="C199" t="s">
        <v>635</v>
      </c>
      <c r="D199">
        <v>1</v>
      </c>
      <c r="E199" t="s">
        <v>631</v>
      </c>
      <c r="F199" t="s">
        <v>630</v>
      </c>
      <c r="G199">
        <v>2750</v>
      </c>
      <c r="H199">
        <v>1842</v>
      </c>
      <c r="I199">
        <v>115</v>
      </c>
      <c r="J199">
        <v>360</v>
      </c>
      <c r="K199">
        <v>1</v>
      </c>
      <c r="L199" t="s">
        <v>646</v>
      </c>
      <c r="M199" t="s">
        <v>633</v>
      </c>
      <c r="N199">
        <f t="shared" si="6"/>
        <v>4592</v>
      </c>
    </row>
    <row r="200" spans="1:14" x14ac:dyDescent="0.3">
      <c r="A200" t="s">
        <v>916</v>
      </c>
      <c r="B200" t="s">
        <v>629</v>
      </c>
      <c r="C200" t="s">
        <v>635</v>
      </c>
      <c r="D200">
        <v>0</v>
      </c>
      <c r="E200" t="s">
        <v>631</v>
      </c>
      <c r="F200" t="s">
        <v>630</v>
      </c>
      <c r="G200">
        <v>3993</v>
      </c>
      <c r="H200">
        <v>3274</v>
      </c>
      <c r="I200">
        <v>207</v>
      </c>
      <c r="J200">
        <v>360</v>
      </c>
      <c r="K200">
        <v>1</v>
      </c>
      <c r="L200" t="s">
        <v>646</v>
      </c>
      <c r="M200" t="s">
        <v>633</v>
      </c>
      <c r="N200">
        <f t="shared" si="6"/>
        <v>7267</v>
      </c>
    </row>
    <row r="201" spans="1:14" x14ac:dyDescent="0.3">
      <c r="A201" t="s">
        <v>917</v>
      </c>
      <c r="B201" t="s">
        <v>629</v>
      </c>
      <c r="C201" t="s">
        <v>635</v>
      </c>
      <c r="D201">
        <v>0</v>
      </c>
      <c r="E201" t="s">
        <v>631</v>
      </c>
      <c r="F201" t="s">
        <v>630</v>
      </c>
      <c r="G201">
        <v>3103</v>
      </c>
      <c r="H201">
        <v>1300</v>
      </c>
      <c r="I201">
        <v>80</v>
      </c>
      <c r="J201">
        <v>360</v>
      </c>
      <c r="K201">
        <v>1</v>
      </c>
      <c r="L201" t="s">
        <v>632</v>
      </c>
      <c r="M201" t="s">
        <v>633</v>
      </c>
      <c r="N201">
        <f t="shared" si="6"/>
        <v>4403</v>
      </c>
    </row>
    <row r="202" spans="1:14" x14ac:dyDescent="0.3">
      <c r="A202" t="s">
        <v>920</v>
      </c>
      <c r="B202" t="s">
        <v>629</v>
      </c>
      <c r="C202" t="s">
        <v>630</v>
      </c>
      <c r="D202">
        <v>1</v>
      </c>
      <c r="E202" t="s">
        <v>640</v>
      </c>
      <c r="F202" t="s">
        <v>635</v>
      </c>
      <c r="G202">
        <v>4053</v>
      </c>
      <c r="H202">
        <v>2426</v>
      </c>
      <c r="I202">
        <v>158</v>
      </c>
      <c r="J202">
        <v>360</v>
      </c>
      <c r="K202">
        <v>0</v>
      </c>
      <c r="L202" t="s">
        <v>632</v>
      </c>
      <c r="M202" t="s">
        <v>637</v>
      </c>
      <c r="N202">
        <f t="shared" si="6"/>
        <v>6479</v>
      </c>
    </row>
    <row r="203" spans="1:14" x14ac:dyDescent="0.3">
      <c r="A203" t="s">
        <v>921</v>
      </c>
      <c r="B203" t="s">
        <v>629</v>
      </c>
      <c r="C203" t="s">
        <v>635</v>
      </c>
      <c r="D203">
        <v>0</v>
      </c>
      <c r="E203" t="s">
        <v>631</v>
      </c>
      <c r="F203" t="s">
        <v>630</v>
      </c>
      <c r="G203">
        <v>3927</v>
      </c>
      <c r="H203">
        <v>800</v>
      </c>
      <c r="I203">
        <v>112</v>
      </c>
      <c r="J203">
        <v>360</v>
      </c>
      <c r="K203">
        <v>1</v>
      </c>
      <c r="L203" t="s">
        <v>646</v>
      </c>
      <c r="M203" t="s">
        <v>633</v>
      </c>
      <c r="N203">
        <f t="shared" si="6"/>
        <v>4727</v>
      </c>
    </row>
    <row r="204" spans="1:14" x14ac:dyDescent="0.3">
      <c r="A204" t="s">
        <v>922</v>
      </c>
      <c r="B204" t="s">
        <v>629</v>
      </c>
      <c r="C204" t="s">
        <v>635</v>
      </c>
      <c r="D204">
        <v>2</v>
      </c>
      <c r="E204" t="s">
        <v>631</v>
      </c>
      <c r="F204" t="s">
        <v>630</v>
      </c>
      <c r="G204">
        <v>2301</v>
      </c>
      <c r="H204" s="1">
        <v>9857999878</v>
      </c>
      <c r="I204">
        <v>78</v>
      </c>
      <c r="J204">
        <v>180</v>
      </c>
      <c r="K204">
        <v>1</v>
      </c>
      <c r="L204" t="s">
        <v>632</v>
      </c>
      <c r="M204" t="s">
        <v>633</v>
      </c>
      <c r="N204">
        <f t="shared" si="6"/>
        <v>9858002179</v>
      </c>
    </row>
    <row r="205" spans="1:14" x14ac:dyDescent="0.3">
      <c r="A205" t="s">
        <v>923</v>
      </c>
      <c r="B205" t="s">
        <v>657</v>
      </c>
      <c r="C205" t="s">
        <v>630</v>
      </c>
      <c r="D205">
        <v>0</v>
      </c>
      <c r="E205" t="s">
        <v>631</v>
      </c>
      <c r="F205" t="s">
        <v>630</v>
      </c>
      <c r="G205">
        <v>1811</v>
      </c>
      <c r="H205">
        <v>1666</v>
      </c>
      <c r="I205">
        <v>54</v>
      </c>
      <c r="J205">
        <v>360</v>
      </c>
      <c r="K205">
        <v>1</v>
      </c>
      <c r="L205" t="s">
        <v>632</v>
      </c>
      <c r="M205" t="s">
        <v>633</v>
      </c>
      <c r="N205">
        <f t="shared" si="6"/>
        <v>3477</v>
      </c>
    </row>
    <row r="206" spans="1:14" x14ac:dyDescent="0.3">
      <c r="A206" t="s">
        <v>925</v>
      </c>
      <c r="B206" t="s">
        <v>629</v>
      </c>
      <c r="C206" t="s">
        <v>630</v>
      </c>
      <c r="D206">
        <v>0</v>
      </c>
      <c r="E206" t="s">
        <v>631</v>
      </c>
      <c r="F206" t="s">
        <v>630</v>
      </c>
      <c r="G206">
        <v>3158</v>
      </c>
      <c r="H206">
        <v>3053</v>
      </c>
      <c r="I206">
        <v>89</v>
      </c>
      <c r="J206">
        <v>360</v>
      </c>
      <c r="K206">
        <v>1</v>
      </c>
      <c r="L206" t="s">
        <v>636</v>
      </c>
      <c r="M206" t="s">
        <v>633</v>
      </c>
      <c r="N206">
        <f t="shared" si="6"/>
        <v>6211</v>
      </c>
    </row>
    <row r="207" spans="1:14" x14ac:dyDescent="0.3">
      <c r="A207" t="s">
        <v>926</v>
      </c>
      <c r="B207" t="s">
        <v>657</v>
      </c>
      <c r="C207" t="s">
        <v>630</v>
      </c>
      <c r="D207">
        <v>0</v>
      </c>
      <c r="E207" t="s">
        <v>631</v>
      </c>
      <c r="F207" t="s">
        <v>635</v>
      </c>
      <c r="G207">
        <v>2600</v>
      </c>
      <c r="H207">
        <v>1717</v>
      </c>
      <c r="I207">
        <v>99</v>
      </c>
      <c r="J207">
        <v>300</v>
      </c>
      <c r="K207">
        <v>1</v>
      </c>
      <c r="L207" t="s">
        <v>646</v>
      </c>
      <c r="M207" t="s">
        <v>637</v>
      </c>
      <c r="N207">
        <f t="shared" si="6"/>
        <v>4317</v>
      </c>
    </row>
    <row r="208" spans="1:14" x14ac:dyDescent="0.3">
      <c r="A208" t="s">
        <v>927</v>
      </c>
      <c r="B208" t="s">
        <v>629</v>
      </c>
      <c r="C208" t="s">
        <v>635</v>
      </c>
      <c r="D208">
        <v>0</v>
      </c>
      <c r="E208" t="s">
        <v>631</v>
      </c>
      <c r="F208" t="s">
        <v>630</v>
      </c>
      <c r="G208">
        <v>3704</v>
      </c>
      <c r="H208">
        <v>2000</v>
      </c>
      <c r="I208">
        <v>120</v>
      </c>
      <c r="J208">
        <v>360</v>
      </c>
      <c r="K208">
        <v>1</v>
      </c>
      <c r="L208" t="s">
        <v>636</v>
      </c>
      <c r="M208" t="s">
        <v>633</v>
      </c>
      <c r="N208">
        <f t="shared" si="6"/>
        <v>5704</v>
      </c>
    </row>
    <row r="209" spans="1:14" x14ac:dyDescent="0.3">
      <c r="A209" t="s">
        <v>928</v>
      </c>
      <c r="B209" t="s">
        <v>657</v>
      </c>
      <c r="C209" t="s">
        <v>630</v>
      </c>
      <c r="D209">
        <v>0</v>
      </c>
      <c r="E209" t="s">
        <v>631</v>
      </c>
      <c r="F209" t="s">
        <v>630</v>
      </c>
      <c r="G209">
        <v>4124</v>
      </c>
      <c r="H209">
        <v>0</v>
      </c>
      <c r="I209">
        <v>115</v>
      </c>
      <c r="J209">
        <v>360</v>
      </c>
      <c r="K209">
        <v>1</v>
      </c>
      <c r="L209" t="s">
        <v>646</v>
      </c>
      <c r="M209" t="s">
        <v>633</v>
      </c>
      <c r="N209">
        <f t="shared" si="6"/>
        <v>4124</v>
      </c>
    </row>
    <row r="210" spans="1:14" x14ac:dyDescent="0.3">
      <c r="A210" t="s">
        <v>929</v>
      </c>
      <c r="B210" t="s">
        <v>629</v>
      </c>
      <c r="C210" t="s">
        <v>630</v>
      </c>
      <c r="D210">
        <v>0</v>
      </c>
      <c r="E210" t="s">
        <v>631</v>
      </c>
      <c r="F210" t="s">
        <v>630</v>
      </c>
      <c r="G210">
        <v>9508</v>
      </c>
      <c r="H210">
        <v>0</v>
      </c>
      <c r="I210">
        <v>187</v>
      </c>
      <c r="J210">
        <v>360</v>
      </c>
      <c r="K210">
        <v>1</v>
      </c>
      <c r="L210" t="s">
        <v>636</v>
      </c>
      <c r="M210" t="s">
        <v>633</v>
      </c>
      <c r="N210">
        <f t="shared" si="6"/>
        <v>9508</v>
      </c>
    </row>
    <row r="211" spans="1:14" x14ac:dyDescent="0.3">
      <c r="A211" t="s">
        <v>930</v>
      </c>
      <c r="B211" t="s">
        <v>629</v>
      </c>
      <c r="C211" t="s">
        <v>635</v>
      </c>
      <c r="D211">
        <v>0</v>
      </c>
      <c r="E211" t="s">
        <v>631</v>
      </c>
      <c r="F211" t="s">
        <v>630</v>
      </c>
      <c r="G211">
        <v>3075</v>
      </c>
      <c r="H211">
        <v>2416</v>
      </c>
      <c r="I211">
        <v>139</v>
      </c>
      <c r="J211">
        <v>360</v>
      </c>
      <c r="K211">
        <v>1</v>
      </c>
      <c r="L211" t="s">
        <v>636</v>
      </c>
      <c r="M211" t="s">
        <v>633</v>
      </c>
      <c r="N211">
        <f t="shared" si="6"/>
        <v>5491</v>
      </c>
    </row>
    <row r="212" spans="1:14" x14ac:dyDescent="0.3">
      <c r="A212" t="s">
        <v>931</v>
      </c>
      <c r="B212" t="s">
        <v>629</v>
      </c>
      <c r="C212" t="s">
        <v>635</v>
      </c>
      <c r="D212">
        <v>2</v>
      </c>
      <c r="E212" t="s">
        <v>631</v>
      </c>
      <c r="F212" t="s">
        <v>630</v>
      </c>
      <c r="G212">
        <v>4400</v>
      </c>
      <c r="H212">
        <v>0</v>
      </c>
      <c r="I212">
        <v>127</v>
      </c>
      <c r="J212">
        <v>360</v>
      </c>
      <c r="K212">
        <v>0</v>
      </c>
      <c r="L212" t="s">
        <v>646</v>
      </c>
      <c r="M212" t="s">
        <v>637</v>
      </c>
      <c r="N212">
        <f t="shared" si="6"/>
        <v>4400</v>
      </c>
    </row>
    <row r="213" spans="1:14" x14ac:dyDescent="0.3">
      <c r="A213" t="s">
        <v>932</v>
      </c>
      <c r="B213" t="s">
        <v>629</v>
      </c>
      <c r="C213" t="s">
        <v>635</v>
      </c>
      <c r="D213">
        <v>2</v>
      </c>
      <c r="E213" t="s">
        <v>631</v>
      </c>
      <c r="F213" t="s">
        <v>630</v>
      </c>
      <c r="G213">
        <v>3153</v>
      </c>
      <c r="H213">
        <v>1560</v>
      </c>
      <c r="I213">
        <v>134</v>
      </c>
      <c r="J213">
        <v>360</v>
      </c>
      <c r="K213">
        <v>1</v>
      </c>
      <c r="L213" t="s">
        <v>632</v>
      </c>
      <c r="M213" t="s">
        <v>633</v>
      </c>
      <c r="N213">
        <f t="shared" si="6"/>
        <v>4713</v>
      </c>
    </row>
    <row r="214" spans="1:14" x14ac:dyDescent="0.3">
      <c r="A214" t="s">
        <v>934</v>
      </c>
      <c r="B214" t="s">
        <v>629</v>
      </c>
      <c r="C214" t="s">
        <v>635</v>
      </c>
      <c r="D214">
        <v>0</v>
      </c>
      <c r="E214" t="s">
        <v>631</v>
      </c>
      <c r="F214" t="s">
        <v>630</v>
      </c>
      <c r="G214">
        <v>2383</v>
      </c>
      <c r="H214">
        <v>3334</v>
      </c>
      <c r="I214">
        <v>172</v>
      </c>
      <c r="J214">
        <v>360</v>
      </c>
      <c r="K214">
        <v>1</v>
      </c>
      <c r="L214" t="s">
        <v>646</v>
      </c>
      <c r="M214" t="s">
        <v>633</v>
      </c>
      <c r="N214">
        <f t="shared" si="6"/>
        <v>5717</v>
      </c>
    </row>
    <row r="215" spans="1:14" x14ac:dyDescent="0.3">
      <c r="A215" t="s">
        <v>936</v>
      </c>
      <c r="B215" t="s">
        <v>629</v>
      </c>
      <c r="C215" t="s">
        <v>635</v>
      </c>
      <c r="D215">
        <v>1</v>
      </c>
      <c r="E215" t="s">
        <v>631</v>
      </c>
      <c r="F215" t="s">
        <v>630</v>
      </c>
      <c r="G215">
        <v>6875</v>
      </c>
      <c r="H215">
        <v>0</v>
      </c>
      <c r="I215">
        <v>200</v>
      </c>
      <c r="J215">
        <v>360</v>
      </c>
      <c r="K215">
        <v>1</v>
      </c>
      <c r="L215" t="s">
        <v>646</v>
      </c>
      <c r="M215" t="s">
        <v>633</v>
      </c>
      <c r="N215">
        <f t="shared" si="6"/>
        <v>6875</v>
      </c>
    </row>
    <row r="216" spans="1:14" x14ac:dyDescent="0.3">
      <c r="A216" t="s">
        <v>937</v>
      </c>
      <c r="B216" t="s">
        <v>657</v>
      </c>
      <c r="C216" t="s">
        <v>635</v>
      </c>
      <c r="D216">
        <v>1</v>
      </c>
      <c r="E216" t="s">
        <v>631</v>
      </c>
      <c r="F216" t="s">
        <v>630</v>
      </c>
      <c r="G216">
        <v>4666</v>
      </c>
      <c r="H216">
        <v>0</v>
      </c>
      <c r="I216">
        <v>135</v>
      </c>
      <c r="J216">
        <v>360</v>
      </c>
      <c r="K216">
        <v>1</v>
      </c>
      <c r="L216" t="s">
        <v>632</v>
      </c>
      <c r="M216" t="s">
        <v>633</v>
      </c>
      <c r="N216">
        <f t="shared" si="6"/>
        <v>4666</v>
      </c>
    </row>
    <row r="217" spans="1:14" x14ac:dyDescent="0.3">
      <c r="A217" t="s">
        <v>938</v>
      </c>
      <c r="B217" t="s">
        <v>657</v>
      </c>
      <c r="C217" t="s">
        <v>630</v>
      </c>
      <c r="D217">
        <v>0</v>
      </c>
      <c r="E217" t="s">
        <v>631</v>
      </c>
      <c r="F217" t="s">
        <v>630</v>
      </c>
      <c r="G217">
        <v>5000</v>
      </c>
      <c r="H217">
        <v>2541</v>
      </c>
      <c r="I217">
        <v>151</v>
      </c>
      <c r="J217">
        <v>480</v>
      </c>
      <c r="K217">
        <v>1</v>
      </c>
      <c r="L217" t="s">
        <v>636</v>
      </c>
      <c r="M217" t="s">
        <v>637</v>
      </c>
      <c r="N217">
        <f t="shared" si="6"/>
        <v>7541</v>
      </c>
    </row>
    <row r="218" spans="1:14" x14ac:dyDescent="0.3">
      <c r="A218" t="s">
        <v>939</v>
      </c>
      <c r="B218" t="s">
        <v>629</v>
      </c>
      <c r="C218" t="s">
        <v>635</v>
      </c>
      <c r="D218">
        <v>1</v>
      </c>
      <c r="E218" t="s">
        <v>631</v>
      </c>
      <c r="F218" t="s">
        <v>630</v>
      </c>
      <c r="G218">
        <v>2014</v>
      </c>
      <c r="H218">
        <v>2925</v>
      </c>
      <c r="I218">
        <v>113</v>
      </c>
      <c r="J218">
        <v>360</v>
      </c>
      <c r="K218">
        <v>1</v>
      </c>
      <c r="L218" t="s">
        <v>632</v>
      </c>
      <c r="M218" t="s">
        <v>637</v>
      </c>
      <c r="N218">
        <f t="shared" si="6"/>
        <v>4939</v>
      </c>
    </row>
    <row r="219" spans="1:14" x14ac:dyDescent="0.3">
      <c r="A219" t="s">
        <v>940</v>
      </c>
      <c r="B219" t="s">
        <v>629</v>
      </c>
      <c r="C219" t="s">
        <v>635</v>
      </c>
      <c r="D219">
        <v>0</v>
      </c>
      <c r="E219" t="s">
        <v>640</v>
      </c>
      <c r="F219" t="s">
        <v>630</v>
      </c>
      <c r="G219">
        <v>1800</v>
      </c>
      <c r="H219">
        <v>2934</v>
      </c>
      <c r="I219">
        <v>93</v>
      </c>
      <c r="J219">
        <v>360</v>
      </c>
      <c r="K219">
        <v>0</v>
      </c>
      <c r="L219" t="s">
        <v>632</v>
      </c>
      <c r="M219" t="s">
        <v>637</v>
      </c>
      <c r="N219">
        <f t="shared" si="6"/>
        <v>4734</v>
      </c>
    </row>
    <row r="220" spans="1:14" x14ac:dyDescent="0.3">
      <c r="A220" t="s">
        <v>942</v>
      </c>
      <c r="B220" t="s">
        <v>657</v>
      </c>
      <c r="C220" t="s">
        <v>630</v>
      </c>
      <c r="D220">
        <v>0</v>
      </c>
      <c r="E220" t="s">
        <v>631</v>
      </c>
      <c r="F220" t="s">
        <v>630</v>
      </c>
      <c r="G220">
        <v>5000</v>
      </c>
      <c r="H220">
        <v>0</v>
      </c>
      <c r="I220">
        <v>132</v>
      </c>
      <c r="J220">
        <v>360</v>
      </c>
      <c r="K220">
        <v>1</v>
      </c>
      <c r="L220" t="s">
        <v>636</v>
      </c>
      <c r="M220" t="s">
        <v>633</v>
      </c>
      <c r="N220">
        <f t="shared" si="6"/>
        <v>5000</v>
      </c>
    </row>
    <row r="221" spans="1:14" x14ac:dyDescent="0.3">
      <c r="A221" t="s">
        <v>943</v>
      </c>
      <c r="B221" t="s">
        <v>629</v>
      </c>
      <c r="C221" t="s">
        <v>635</v>
      </c>
      <c r="D221">
        <v>1</v>
      </c>
      <c r="E221" t="s">
        <v>631</v>
      </c>
      <c r="F221" t="s">
        <v>630</v>
      </c>
      <c r="G221">
        <v>1625</v>
      </c>
      <c r="H221">
        <v>1803</v>
      </c>
      <c r="I221">
        <v>96</v>
      </c>
      <c r="J221">
        <v>360</v>
      </c>
      <c r="K221">
        <v>1</v>
      </c>
      <c r="L221" t="s">
        <v>632</v>
      </c>
      <c r="M221" t="s">
        <v>633</v>
      </c>
      <c r="N221">
        <f t="shared" si="6"/>
        <v>3428</v>
      </c>
    </row>
    <row r="222" spans="1:14" x14ac:dyDescent="0.3">
      <c r="A222" t="s">
        <v>944</v>
      </c>
      <c r="B222" t="s">
        <v>629</v>
      </c>
      <c r="C222" t="s">
        <v>630</v>
      </c>
      <c r="D222">
        <v>0</v>
      </c>
      <c r="E222" t="s">
        <v>631</v>
      </c>
      <c r="F222" t="s">
        <v>630</v>
      </c>
      <c r="G222">
        <v>4000</v>
      </c>
      <c r="H222">
        <v>2500</v>
      </c>
      <c r="I222">
        <v>140</v>
      </c>
      <c r="J222">
        <v>360</v>
      </c>
      <c r="K222">
        <v>1</v>
      </c>
      <c r="L222" t="s">
        <v>636</v>
      </c>
      <c r="M222" t="s">
        <v>633</v>
      </c>
      <c r="N222">
        <f t="shared" si="6"/>
        <v>6500</v>
      </c>
    </row>
    <row r="223" spans="1:14" x14ac:dyDescent="0.3">
      <c r="A223" t="s">
        <v>946</v>
      </c>
      <c r="B223" t="s">
        <v>657</v>
      </c>
      <c r="C223" t="s">
        <v>630</v>
      </c>
      <c r="D223">
        <v>0</v>
      </c>
      <c r="E223" t="s">
        <v>631</v>
      </c>
      <c r="F223" t="s">
        <v>630</v>
      </c>
      <c r="G223">
        <v>3762</v>
      </c>
      <c r="H223">
        <v>1666</v>
      </c>
      <c r="I223">
        <v>135</v>
      </c>
      <c r="J223">
        <v>360</v>
      </c>
      <c r="K223">
        <v>1</v>
      </c>
      <c r="L223" t="s">
        <v>636</v>
      </c>
      <c r="M223" t="s">
        <v>633</v>
      </c>
      <c r="N223">
        <f t="shared" si="6"/>
        <v>5428</v>
      </c>
    </row>
    <row r="224" spans="1:14" x14ac:dyDescent="0.3">
      <c r="A224" t="s">
        <v>947</v>
      </c>
      <c r="B224" t="s">
        <v>657</v>
      </c>
      <c r="C224" t="s">
        <v>630</v>
      </c>
      <c r="D224">
        <v>0</v>
      </c>
      <c r="E224" t="s">
        <v>631</v>
      </c>
      <c r="F224" t="s">
        <v>630</v>
      </c>
      <c r="G224">
        <v>2400</v>
      </c>
      <c r="H224">
        <v>1863</v>
      </c>
      <c r="I224">
        <v>104</v>
      </c>
      <c r="J224">
        <v>360</v>
      </c>
      <c r="K224">
        <v>0</v>
      </c>
      <c r="L224" t="s">
        <v>632</v>
      </c>
      <c r="M224" t="s">
        <v>637</v>
      </c>
      <c r="N224">
        <f t="shared" si="6"/>
        <v>4263</v>
      </c>
    </row>
    <row r="225" spans="1:14" x14ac:dyDescent="0.3">
      <c r="A225" t="s">
        <v>950</v>
      </c>
      <c r="B225" t="s">
        <v>657</v>
      </c>
      <c r="C225" t="s">
        <v>630</v>
      </c>
      <c r="D225">
        <v>0</v>
      </c>
      <c r="E225" t="s">
        <v>631</v>
      </c>
      <c r="F225" t="s">
        <v>630</v>
      </c>
      <c r="G225">
        <v>2917</v>
      </c>
      <c r="H225">
        <v>0</v>
      </c>
      <c r="I225">
        <v>84</v>
      </c>
      <c r="J225">
        <v>360</v>
      </c>
      <c r="K225">
        <v>1</v>
      </c>
      <c r="L225" t="s">
        <v>646</v>
      </c>
      <c r="M225" t="s">
        <v>633</v>
      </c>
      <c r="N225">
        <f t="shared" si="6"/>
        <v>2917</v>
      </c>
    </row>
    <row r="226" spans="1:14" x14ac:dyDescent="0.3">
      <c r="A226" t="s">
        <v>951</v>
      </c>
      <c r="B226" t="s">
        <v>629</v>
      </c>
      <c r="C226" t="s">
        <v>630</v>
      </c>
      <c r="D226">
        <v>0</v>
      </c>
      <c r="E226" t="s">
        <v>640</v>
      </c>
      <c r="F226" t="s">
        <v>630</v>
      </c>
      <c r="G226">
        <v>2927</v>
      </c>
      <c r="H226">
        <v>2405</v>
      </c>
      <c r="I226">
        <v>111</v>
      </c>
      <c r="J226">
        <v>360</v>
      </c>
      <c r="K226">
        <v>1</v>
      </c>
      <c r="L226" t="s">
        <v>646</v>
      </c>
      <c r="M226" t="s">
        <v>633</v>
      </c>
      <c r="N226">
        <f t="shared" si="6"/>
        <v>5332</v>
      </c>
    </row>
    <row r="227" spans="1:14" x14ac:dyDescent="0.3">
      <c r="A227" t="s">
        <v>952</v>
      </c>
      <c r="B227" t="s">
        <v>657</v>
      </c>
      <c r="C227" t="s">
        <v>630</v>
      </c>
      <c r="D227">
        <v>0</v>
      </c>
      <c r="E227" t="s">
        <v>631</v>
      </c>
      <c r="F227" t="s">
        <v>630</v>
      </c>
      <c r="G227">
        <v>2507</v>
      </c>
      <c r="H227">
        <v>0</v>
      </c>
      <c r="I227">
        <v>56</v>
      </c>
      <c r="J227">
        <v>360</v>
      </c>
      <c r="K227">
        <v>1</v>
      </c>
      <c r="L227" t="s">
        <v>636</v>
      </c>
      <c r="M227" t="s">
        <v>633</v>
      </c>
      <c r="N227">
        <f t="shared" si="6"/>
        <v>2507</v>
      </c>
    </row>
    <row r="228" spans="1:14" x14ac:dyDescent="0.3">
      <c r="A228" t="s">
        <v>955</v>
      </c>
      <c r="B228" t="s">
        <v>629</v>
      </c>
      <c r="C228" t="s">
        <v>635</v>
      </c>
      <c r="D228">
        <v>1</v>
      </c>
      <c r="E228" t="s">
        <v>640</v>
      </c>
      <c r="F228" t="s">
        <v>630</v>
      </c>
      <c r="G228">
        <v>3399</v>
      </c>
      <c r="H228">
        <v>1640</v>
      </c>
      <c r="I228">
        <v>111</v>
      </c>
      <c r="J228">
        <v>180</v>
      </c>
      <c r="K228">
        <v>1</v>
      </c>
      <c r="L228" t="s">
        <v>632</v>
      </c>
      <c r="M228" t="s">
        <v>633</v>
      </c>
      <c r="N228">
        <f t="shared" si="6"/>
        <v>5039</v>
      </c>
    </row>
    <row r="229" spans="1:14" x14ac:dyDescent="0.3">
      <c r="A229" t="s">
        <v>956</v>
      </c>
      <c r="B229" t="s">
        <v>629</v>
      </c>
      <c r="C229" t="s">
        <v>635</v>
      </c>
      <c r="D229">
        <v>2</v>
      </c>
      <c r="E229" t="s">
        <v>631</v>
      </c>
      <c r="F229" t="s">
        <v>630</v>
      </c>
      <c r="G229">
        <v>3717</v>
      </c>
      <c r="H229">
        <v>0</v>
      </c>
      <c r="I229">
        <v>120</v>
      </c>
      <c r="J229">
        <v>360</v>
      </c>
      <c r="K229">
        <v>1</v>
      </c>
      <c r="L229" t="s">
        <v>646</v>
      </c>
      <c r="M229" t="s">
        <v>633</v>
      </c>
      <c r="N229">
        <f t="shared" si="6"/>
        <v>3717</v>
      </c>
    </row>
    <row r="230" spans="1:14" x14ac:dyDescent="0.3">
      <c r="A230" t="s">
        <v>959</v>
      </c>
      <c r="B230" t="s">
        <v>629</v>
      </c>
      <c r="C230" t="s">
        <v>635</v>
      </c>
      <c r="D230">
        <v>1</v>
      </c>
      <c r="E230" t="s">
        <v>631</v>
      </c>
      <c r="F230" t="s">
        <v>635</v>
      </c>
      <c r="G230">
        <v>10000</v>
      </c>
      <c r="H230">
        <v>0</v>
      </c>
      <c r="I230">
        <v>155</v>
      </c>
      <c r="J230">
        <v>360</v>
      </c>
      <c r="K230">
        <v>1</v>
      </c>
      <c r="L230" t="s">
        <v>636</v>
      </c>
      <c r="M230" t="s">
        <v>637</v>
      </c>
      <c r="N230">
        <f t="shared" si="6"/>
        <v>10000</v>
      </c>
    </row>
    <row r="231" spans="1:14" x14ac:dyDescent="0.3">
      <c r="A231" t="s">
        <v>960</v>
      </c>
      <c r="B231" t="s">
        <v>629</v>
      </c>
      <c r="C231" t="s">
        <v>635</v>
      </c>
      <c r="D231">
        <v>0</v>
      </c>
      <c r="E231" t="s">
        <v>631</v>
      </c>
      <c r="F231" t="s">
        <v>630</v>
      </c>
      <c r="G231">
        <v>2400</v>
      </c>
      <c r="H231">
        <v>2167</v>
      </c>
      <c r="I231">
        <v>115</v>
      </c>
      <c r="J231">
        <v>360</v>
      </c>
      <c r="K231">
        <v>1</v>
      </c>
      <c r="L231" t="s">
        <v>646</v>
      </c>
      <c r="M231" t="s">
        <v>633</v>
      </c>
      <c r="N231">
        <f t="shared" si="6"/>
        <v>4567</v>
      </c>
    </row>
    <row r="232" spans="1:14" x14ac:dyDescent="0.3">
      <c r="A232" t="s">
        <v>961</v>
      </c>
      <c r="B232" t="s">
        <v>629</v>
      </c>
      <c r="C232" t="s">
        <v>635</v>
      </c>
      <c r="D232" t="s">
        <v>645</v>
      </c>
      <c r="E232" t="s">
        <v>631</v>
      </c>
      <c r="F232" t="s">
        <v>630</v>
      </c>
      <c r="G232">
        <v>4342</v>
      </c>
      <c r="H232">
        <v>189</v>
      </c>
      <c r="I232">
        <v>124</v>
      </c>
      <c r="J232">
        <v>360</v>
      </c>
      <c r="K232">
        <v>1</v>
      </c>
      <c r="L232" t="s">
        <v>646</v>
      </c>
      <c r="M232" t="s">
        <v>633</v>
      </c>
      <c r="N232">
        <f t="shared" si="6"/>
        <v>4531</v>
      </c>
    </row>
    <row r="233" spans="1:14" x14ac:dyDescent="0.3">
      <c r="A233" t="s">
        <v>966</v>
      </c>
      <c r="B233" t="s">
        <v>629</v>
      </c>
      <c r="C233" t="s">
        <v>630</v>
      </c>
      <c r="D233">
        <v>0</v>
      </c>
      <c r="E233" t="s">
        <v>631</v>
      </c>
      <c r="F233" t="s">
        <v>630</v>
      </c>
      <c r="G233">
        <v>4917</v>
      </c>
      <c r="H233">
        <v>0</v>
      </c>
      <c r="I233">
        <v>130</v>
      </c>
      <c r="J233">
        <v>360</v>
      </c>
      <c r="K233">
        <v>0</v>
      </c>
      <c r="L233" t="s">
        <v>636</v>
      </c>
      <c r="M233" t="s">
        <v>633</v>
      </c>
      <c r="N233">
        <f t="shared" si="6"/>
        <v>4917</v>
      </c>
    </row>
    <row r="234" spans="1:14" x14ac:dyDescent="0.3">
      <c r="A234" t="s">
        <v>967</v>
      </c>
      <c r="B234" t="s">
        <v>629</v>
      </c>
      <c r="C234" t="s">
        <v>635</v>
      </c>
      <c r="D234">
        <v>0</v>
      </c>
      <c r="E234" t="s">
        <v>631</v>
      </c>
      <c r="F234" t="s">
        <v>635</v>
      </c>
      <c r="G234">
        <v>5818</v>
      </c>
      <c r="H234">
        <v>2160</v>
      </c>
      <c r="I234">
        <v>184</v>
      </c>
      <c r="J234">
        <v>360</v>
      </c>
      <c r="K234">
        <v>1</v>
      </c>
      <c r="L234" t="s">
        <v>646</v>
      </c>
      <c r="M234" t="s">
        <v>633</v>
      </c>
      <c r="N234">
        <f t="shared" si="6"/>
        <v>7978</v>
      </c>
    </row>
    <row r="235" spans="1:14" x14ac:dyDescent="0.3">
      <c r="A235" t="s">
        <v>968</v>
      </c>
      <c r="B235" t="s">
        <v>657</v>
      </c>
      <c r="C235" t="s">
        <v>635</v>
      </c>
      <c r="D235">
        <v>0</v>
      </c>
      <c r="E235" t="s">
        <v>631</v>
      </c>
      <c r="F235" t="s">
        <v>630</v>
      </c>
      <c r="G235">
        <v>4333</v>
      </c>
      <c r="H235">
        <v>2451</v>
      </c>
      <c r="I235">
        <v>110</v>
      </c>
      <c r="J235">
        <v>360</v>
      </c>
      <c r="K235">
        <v>1</v>
      </c>
      <c r="L235" t="s">
        <v>632</v>
      </c>
      <c r="M235" t="s">
        <v>637</v>
      </c>
      <c r="N235">
        <f t="shared" si="6"/>
        <v>6784</v>
      </c>
    </row>
    <row r="236" spans="1:14" x14ac:dyDescent="0.3">
      <c r="A236" t="s">
        <v>969</v>
      </c>
      <c r="B236" t="s">
        <v>657</v>
      </c>
      <c r="C236" t="s">
        <v>630</v>
      </c>
      <c r="D236">
        <v>0</v>
      </c>
      <c r="E236" t="s">
        <v>631</v>
      </c>
      <c r="F236" t="s">
        <v>630</v>
      </c>
      <c r="G236">
        <v>2500</v>
      </c>
      <c r="H236">
        <v>0</v>
      </c>
      <c r="I236">
        <v>67</v>
      </c>
      <c r="J236">
        <v>360</v>
      </c>
      <c r="K236">
        <v>1</v>
      </c>
      <c r="L236" t="s">
        <v>632</v>
      </c>
      <c r="M236" t="s">
        <v>633</v>
      </c>
      <c r="N236">
        <f t="shared" si="6"/>
        <v>2500</v>
      </c>
    </row>
    <row r="237" spans="1:14" x14ac:dyDescent="0.3">
      <c r="A237" t="s">
        <v>970</v>
      </c>
      <c r="B237" t="s">
        <v>629</v>
      </c>
      <c r="C237" t="s">
        <v>630</v>
      </c>
      <c r="D237">
        <v>1</v>
      </c>
      <c r="E237" t="s">
        <v>631</v>
      </c>
      <c r="F237" t="s">
        <v>630</v>
      </c>
      <c r="G237">
        <v>4384</v>
      </c>
      <c r="H237">
        <v>1793</v>
      </c>
      <c r="I237">
        <v>117</v>
      </c>
      <c r="J237">
        <v>360</v>
      </c>
      <c r="K237">
        <v>1</v>
      </c>
      <c r="L237" t="s">
        <v>632</v>
      </c>
      <c r="M237" t="s">
        <v>633</v>
      </c>
      <c r="N237">
        <f t="shared" si="6"/>
        <v>6177</v>
      </c>
    </row>
    <row r="238" spans="1:14" x14ac:dyDescent="0.3">
      <c r="A238" t="s">
        <v>971</v>
      </c>
      <c r="B238" t="s">
        <v>629</v>
      </c>
      <c r="C238" t="s">
        <v>630</v>
      </c>
      <c r="D238">
        <v>0</v>
      </c>
      <c r="E238" t="s">
        <v>631</v>
      </c>
      <c r="F238" t="s">
        <v>630</v>
      </c>
      <c r="G238">
        <v>2935</v>
      </c>
      <c r="H238">
        <v>0</v>
      </c>
      <c r="I238">
        <v>98</v>
      </c>
      <c r="J238">
        <v>360</v>
      </c>
      <c r="K238">
        <v>1</v>
      </c>
      <c r="L238" t="s">
        <v>646</v>
      </c>
      <c r="M238" t="s">
        <v>633</v>
      </c>
      <c r="N238">
        <f t="shared" si="6"/>
        <v>2935</v>
      </c>
    </row>
    <row r="239" spans="1:14" x14ac:dyDescent="0.3">
      <c r="A239" t="s">
        <v>977</v>
      </c>
      <c r="B239" t="s">
        <v>629</v>
      </c>
      <c r="C239" t="s">
        <v>635</v>
      </c>
      <c r="D239">
        <v>2</v>
      </c>
      <c r="E239" t="s">
        <v>631</v>
      </c>
      <c r="F239" t="s">
        <v>635</v>
      </c>
      <c r="G239">
        <v>2500</v>
      </c>
      <c r="H239">
        <v>4600</v>
      </c>
      <c r="I239">
        <v>176</v>
      </c>
      <c r="J239">
        <v>360</v>
      </c>
      <c r="K239">
        <v>1</v>
      </c>
      <c r="L239" t="s">
        <v>636</v>
      </c>
      <c r="M239" t="s">
        <v>633</v>
      </c>
      <c r="N239">
        <f t="shared" si="6"/>
        <v>7100</v>
      </c>
    </row>
    <row r="240" spans="1:14" x14ac:dyDescent="0.3">
      <c r="A240" t="s">
        <v>979</v>
      </c>
      <c r="B240" t="s">
        <v>657</v>
      </c>
      <c r="C240" t="s">
        <v>630</v>
      </c>
      <c r="D240">
        <v>0</v>
      </c>
      <c r="E240" t="s">
        <v>631</v>
      </c>
      <c r="F240" t="s">
        <v>630</v>
      </c>
      <c r="G240">
        <v>4160</v>
      </c>
      <c r="H240">
        <v>0</v>
      </c>
      <c r="I240">
        <v>71</v>
      </c>
      <c r="J240">
        <v>360</v>
      </c>
      <c r="K240">
        <v>1</v>
      </c>
      <c r="L240" t="s">
        <v>646</v>
      </c>
      <c r="M240" t="s">
        <v>633</v>
      </c>
      <c r="N240">
        <f t="shared" si="6"/>
        <v>4160</v>
      </c>
    </row>
    <row r="241" spans="1:14" x14ac:dyDescent="0.3">
      <c r="A241" t="s">
        <v>980</v>
      </c>
      <c r="B241" t="s">
        <v>629</v>
      </c>
      <c r="C241" t="s">
        <v>635</v>
      </c>
      <c r="D241" t="s">
        <v>645</v>
      </c>
      <c r="E241" t="s">
        <v>640</v>
      </c>
      <c r="F241" t="s">
        <v>630</v>
      </c>
      <c r="G241">
        <v>2647</v>
      </c>
      <c r="H241">
        <v>1587</v>
      </c>
      <c r="I241">
        <v>173</v>
      </c>
      <c r="J241">
        <v>360</v>
      </c>
      <c r="K241">
        <v>1</v>
      </c>
      <c r="L241" t="s">
        <v>636</v>
      </c>
      <c r="M241" t="s">
        <v>637</v>
      </c>
      <c r="N241">
        <f t="shared" si="6"/>
        <v>4234</v>
      </c>
    </row>
    <row r="242" spans="1:14" x14ac:dyDescent="0.3">
      <c r="A242" t="s">
        <v>981</v>
      </c>
      <c r="B242" t="s">
        <v>657</v>
      </c>
      <c r="C242" t="s">
        <v>630</v>
      </c>
      <c r="D242">
        <v>0</v>
      </c>
      <c r="E242" t="s">
        <v>631</v>
      </c>
      <c r="F242" t="s">
        <v>630</v>
      </c>
      <c r="G242">
        <v>2378</v>
      </c>
      <c r="H242">
        <v>0</v>
      </c>
      <c r="I242">
        <v>46</v>
      </c>
      <c r="J242">
        <v>360</v>
      </c>
      <c r="K242">
        <v>1</v>
      </c>
      <c r="L242" t="s">
        <v>636</v>
      </c>
      <c r="M242" t="s">
        <v>637</v>
      </c>
      <c r="N242">
        <f t="shared" si="6"/>
        <v>2378</v>
      </c>
    </row>
    <row r="243" spans="1:14" x14ac:dyDescent="0.3">
      <c r="A243" t="s">
        <v>982</v>
      </c>
      <c r="B243" t="s">
        <v>629</v>
      </c>
      <c r="C243" t="s">
        <v>635</v>
      </c>
      <c r="D243">
        <v>1</v>
      </c>
      <c r="E243" t="s">
        <v>640</v>
      </c>
      <c r="F243" t="s">
        <v>630</v>
      </c>
      <c r="G243">
        <v>4554</v>
      </c>
      <c r="H243">
        <v>1229</v>
      </c>
      <c r="I243">
        <v>158</v>
      </c>
      <c r="J243">
        <v>360</v>
      </c>
      <c r="K243">
        <v>1</v>
      </c>
      <c r="L243" t="s">
        <v>632</v>
      </c>
      <c r="M243" t="s">
        <v>633</v>
      </c>
      <c r="N243">
        <f t="shared" si="6"/>
        <v>5783</v>
      </c>
    </row>
    <row r="244" spans="1:14" x14ac:dyDescent="0.3">
      <c r="A244" t="s">
        <v>983</v>
      </c>
      <c r="B244" t="s">
        <v>629</v>
      </c>
      <c r="C244" t="s">
        <v>635</v>
      </c>
      <c r="D244" t="s">
        <v>645</v>
      </c>
      <c r="E244" t="s">
        <v>640</v>
      </c>
      <c r="F244" t="s">
        <v>630</v>
      </c>
      <c r="G244">
        <v>3173</v>
      </c>
      <c r="H244">
        <v>0</v>
      </c>
      <c r="I244">
        <v>74</v>
      </c>
      <c r="J244">
        <v>360</v>
      </c>
      <c r="K244">
        <v>1</v>
      </c>
      <c r="L244" t="s">
        <v>646</v>
      </c>
      <c r="M244" t="s">
        <v>633</v>
      </c>
      <c r="N244">
        <f t="shared" si="6"/>
        <v>3173</v>
      </c>
    </row>
    <row r="245" spans="1:14" x14ac:dyDescent="0.3">
      <c r="A245" t="s">
        <v>985</v>
      </c>
      <c r="B245" t="s">
        <v>629</v>
      </c>
      <c r="C245" t="s">
        <v>635</v>
      </c>
      <c r="D245">
        <v>0</v>
      </c>
      <c r="E245" t="s">
        <v>631</v>
      </c>
      <c r="F245" t="s">
        <v>630</v>
      </c>
      <c r="G245">
        <v>2499</v>
      </c>
      <c r="H245">
        <v>2458</v>
      </c>
      <c r="I245">
        <v>160</v>
      </c>
      <c r="J245">
        <v>360</v>
      </c>
      <c r="K245">
        <v>1</v>
      </c>
      <c r="L245" t="s">
        <v>646</v>
      </c>
      <c r="M245" t="s">
        <v>633</v>
      </c>
      <c r="N245">
        <f t="shared" si="6"/>
        <v>4957</v>
      </c>
    </row>
    <row r="246" spans="1:14" x14ac:dyDescent="0.3">
      <c r="A246" t="s">
        <v>987</v>
      </c>
      <c r="B246" t="s">
        <v>629</v>
      </c>
      <c r="C246" t="s">
        <v>635</v>
      </c>
      <c r="D246">
        <v>2</v>
      </c>
      <c r="E246" t="s">
        <v>640</v>
      </c>
      <c r="F246" t="s">
        <v>630</v>
      </c>
      <c r="G246">
        <v>3083</v>
      </c>
      <c r="H246">
        <v>2168</v>
      </c>
      <c r="I246">
        <v>126</v>
      </c>
      <c r="J246">
        <v>360</v>
      </c>
      <c r="K246">
        <v>1</v>
      </c>
      <c r="L246" t="s">
        <v>632</v>
      </c>
      <c r="M246" t="s">
        <v>633</v>
      </c>
      <c r="N246">
        <f t="shared" si="6"/>
        <v>5251</v>
      </c>
    </row>
    <row r="247" spans="1:14" x14ac:dyDescent="0.3">
      <c r="A247" t="s">
        <v>989</v>
      </c>
      <c r="B247" t="s">
        <v>629</v>
      </c>
      <c r="C247" t="s">
        <v>635</v>
      </c>
      <c r="D247">
        <v>0</v>
      </c>
      <c r="E247" t="s">
        <v>631</v>
      </c>
      <c r="F247" t="s">
        <v>630</v>
      </c>
      <c r="G247">
        <v>2625</v>
      </c>
      <c r="H247">
        <v>6250</v>
      </c>
      <c r="I247">
        <v>187</v>
      </c>
      <c r="J247">
        <v>360</v>
      </c>
      <c r="K247">
        <v>1</v>
      </c>
      <c r="L247" t="s">
        <v>636</v>
      </c>
      <c r="M247" t="s">
        <v>633</v>
      </c>
      <c r="N247">
        <f t="shared" si="6"/>
        <v>8875</v>
      </c>
    </row>
    <row r="248" spans="1:14" x14ac:dyDescent="0.3">
      <c r="A248" t="s">
        <v>990</v>
      </c>
      <c r="B248" t="s">
        <v>629</v>
      </c>
      <c r="C248" t="s">
        <v>635</v>
      </c>
      <c r="D248">
        <v>0</v>
      </c>
      <c r="E248" t="s">
        <v>631</v>
      </c>
      <c r="F248" t="s">
        <v>630</v>
      </c>
      <c r="G248">
        <v>9083</v>
      </c>
      <c r="H248">
        <v>0</v>
      </c>
      <c r="I248">
        <v>228</v>
      </c>
      <c r="J248">
        <v>360</v>
      </c>
      <c r="K248">
        <v>1</v>
      </c>
      <c r="L248" t="s">
        <v>646</v>
      </c>
      <c r="M248" t="s">
        <v>633</v>
      </c>
      <c r="N248">
        <f t="shared" si="6"/>
        <v>9083</v>
      </c>
    </row>
    <row r="249" spans="1:14" x14ac:dyDescent="0.3">
      <c r="A249" t="s">
        <v>992</v>
      </c>
      <c r="B249" t="s">
        <v>629</v>
      </c>
      <c r="C249" t="s">
        <v>635</v>
      </c>
      <c r="D249" t="s">
        <v>645</v>
      </c>
      <c r="E249" t="s">
        <v>631</v>
      </c>
      <c r="F249" t="s">
        <v>630</v>
      </c>
      <c r="G249">
        <v>2666</v>
      </c>
      <c r="H249">
        <v>2083</v>
      </c>
      <c r="I249">
        <v>95</v>
      </c>
      <c r="J249">
        <v>360</v>
      </c>
      <c r="K249">
        <v>1</v>
      </c>
      <c r="L249" t="s">
        <v>636</v>
      </c>
      <c r="M249" t="s">
        <v>633</v>
      </c>
      <c r="N249">
        <f t="shared" si="6"/>
        <v>4749</v>
      </c>
    </row>
    <row r="250" spans="1:14" x14ac:dyDescent="0.3">
      <c r="A250" t="s">
        <v>993</v>
      </c>
      <c r="B250" t="s">
        <v>657</v>
      </c>
      <c r="C250" t="s">
        <v>635</v>
      </c>
      <c r="D250">
        <v>0</v>
      </c>
      <c r="E250" t="s">
        <v>631</v>
      </c>
      <c r="F250" t="s">
        <v>635</v>
      </c>
      <c r="G250">
        <v>5500</v>
      </c>
      <c r="H250">
        <v>0</v>
      </c>
      <c r="I250">
        <v>105</v>
      </c>
      <c r="J250">
        <v>360</v>
      </c>
      <c r="K250">
        <v>0</v>
      </c>
      <c r="L250" t="s">
        <v>636</v>
      </c>
      <c r="M250" t="s">
        <v>637</v>
      </c>
      <c r="N250">
        <f t="shared" si="6"/>
        <v>5500</v>
      </c>
    </row>
    <row r="251" spans="1:14" x14ac:dyDescent="0.3">
      <c r="A251" t="s">
        <v>994</v>
      </c>
      <c r="B251" t="s">
        <v>657</v>
      </c>
      <c r="C251" t="s">
        <v>635</v>
      </c>
      <c r="D251">
        <v>0</v>
      </c>
      <c r="E251" t="s">
        <v>631</v>
      </c>
      <c r="F251" t="s">
        <v>630</v>
      </c>
      <c r="G251">
        <v>2423</v>
      </c>
      <c r="H251">
        <v>505</v>
      </c>
      <c r="I251">
        <v>130</v>
      </c>
      <c r="J251">
        <v>360</v>
      </c>
      <c r="K251">
        <v>1</v>
      </c>
      <c r="L251" t="s">
        <v>646</v>
      </c>
      <c r="M251" t="s">
        <v>633</v>
      </c>
      <c r="N251">
        <f t="shared" si="6"/>
        <v>2928</v>
      </c>
    </row>
    <row r="252" spans="1:14" x14ac:dyDescent="0.3">
      <c r="A252" t="s">
        <v>996</v>
      </c>
      <c r="B252" t="s">
        <v>629</v>
      </c>
      <c r="C252" t="s">
        <v>635</v>
      </c>
      <c r="D252">
        <v>2</v>
      </c>
      <c r="E252" t="s">
        <v>631</v>
      </c>
      <c r="F252" t="s">
        <v>630</v>
      </c>
      <c r="G252">
        <v>8333</v>
      </c>
      <c r="H252">
        <v>3167</v>
      </c>
      <c r="I252">
        <v>165</v>
      </c>
      <c r="J252">
        <v>360</v>
      </c>
      <c r="K252">
        <v>1</v>
      </c>
      <c r="L252" t="s">
        <v>636</v>
      </c>
      <c r="M252" t="s">
        <v>633</v>
      </c>
      <c r="N252">
        <f t="shared" si="6"/>
        <v>11500</v>
      </c>
    </row>
    <row r="253" spans="1:14" x14ac:dyDescent="0.3">
      <c r="A253" t="s">
        <v>997</v>
      </c>
      <c r="B253" t="s">
        <v>629</v>
      </c>
      <c r="C253" t="s">
        <v>635</v>
      </c>
      <c r="D253">
        <v>1</v>
      </c>
      <c r="E253" t="s">
        <v>631</v>
      </c>
      <c r="F253" t="s">
        <v>630</v>
      </c>
      <c r="G253">
        <v>3875</v>
      </c>
      <c r="H253">
        <v>0</v>
      </c>
      <c r="I253">
        <v>67</v>
      </c>
      <c r="J253">
        <v>360</v>
      </c>
      <c r="K253">
        <v>1</v>
      </c>
      <c r="L253" t="s">
        <v>632</v>
      </c>
      <c r="M253" t="s">
        <v>637</v>
      </c>
      <c r="N253">
        <f t="shared" si="6"/>
        <v>3875</v>
      </c>
    </row>
    <row r="254" spans="1:14" x14ac:dyDescent="0.3">
      <c r="A254" t="s">
        <v>998</v>
      </c>
      <c r="B254" t="s">
        <v>629</v>
      </c>
      <c r="C254" t="s">
        <v>635</v>
      </c>
      <c r="D254">
        <v>0</v>
      </c>
      <c r="E254" t="s">
        <v>640</v>
      </c>
      <c r="F254" t="s">
        <v>630</v>
      </c>
      <c r="G254">
        <v>3000</v>
      </c>
      <c r="H254">
        <v>1666</v>
      </c>
      <c r="I254">
        <v>100</v>
      </c>
      <c r="J254">
        <v>480</v>
      </c>
      <c r="K254">
        <v>0</v>
      </c>
      <c r="L254" t="s">
        <v>632</v>
      </c>
      <c r="M254" t="s">
        <v>637</v>
      </c>
      <c r="N254">
        <f t="shared" si="6"/>
        <v>4666</v>
      </c>
    </row>
    <row r="255" spans="1:14" x14ac:dyDescent="0.3">
      <c r="A255" t="s">
        <v>999</v>
      </c>
      <c r="B255" t="s">
        <v>629</v>
      </c>
      <c r="C255" t="s">
        <v>635</v>
      </c>
      <c r="D255" t="s">
        <v>645</v>
      </c>
      <c r="E255" t="s">
        <v>631</v>
      </c>
      <c r="F255" t="s">
        <v>630</v>
      </c>
      <c r="G255">
        <v>5167</v>
      </c>
      <c r="H255">
        <v>3167</v>
      </c>
      <c r="I255">
        <v>200</v>
      </c>
      <c r="J255">
        <v>360</v>
      </c>
      <c r="K255">
        <v>1</v>
      </c>
      <c r="L255" t="s">
        <v>646</v>
      </c>
      <c r="M255" t="s">
        <v>633</v>
      </c>
      <c r="N255">
        <f t="shared" si="6"/>
        <v>8334</v>
      </c>
    </row>
    <row r="256" spans="1:14" x14ac:dyDescent="0.3">
      <c r="A256" t="s">
        <v>1000</v>
      </c>
      <c r="B256" t="s">
        <v>657</v>
      </c>
      <c r="C256" t="s">
        <v>630</v>
      </c>
      <c r="D256">
        <v>1</v>
      </c>
      <c r="E256" t="s">
        <v>631</v>
      </c>
      <c r="F256" t="s">
        <v>630</v>
      </c>
      <c r="G256">
        <v>4723</v>
      </c>
      <c r="H256">
        <v>0</v>
      </c>
      <c r="I256">
        <v>81</v>
      </c>
      <c r="J256">
        <v>360</v>
      </c>
      <c r="K256">
        <v>1</v>
      </c>
      <c r="L256" t="s">
        <v>646</v>
      </c>
      <c r="M256" t="s">
        <v>637</v>
      </c>
      <c r="N256">
        <f t="shared" si="6"/>
        <v>4723</v>
      </c>
    </row>
    <row r="257" spans="1:14" x14ac:dyDescent="0.3">
      <c r="A257" t="s">
        <v>1001</v>
      </c>
      <c r="B257" t="s">
        <v>629</v>
      </c>
      <c r="C257" t="s">
        <v>635</v>
      </c>
      <c r="D257">
        <v>2</v>
      </c>
      <c r="E257" t="s">
        <v>631</v>
      </c>
      <c r="F257" t="s">
        <v>630</v>
      </c>
      <c r="G257">
        <v>5000</v>
      </c>
      <c r="H257">
        <v>3667</v>
      </c>
      <c r="I257">
        <v>236</v>
      </c>
      <c r="J257">
        <v>360</v>
      </c>
      <c r="K257">
        <v>1</v>
      </c>
      <c r="L257" t="s">
        <v>646</v>
      </c>
      <c r="M257" t="s">
        <v>633</v>
      </c>
      <c r="N257">
        <f t="shared" si="6"/>
        <v>8667</v>
      </c>
    </row>
    <row r="258" spans="1:14" x14ac:dyDescent="0.3">
      <c r="A258" t="s">
        <v>1002</v>
      </c>
      <c r="B258" t="s">
        <v>629</v>
      </c>
      <c r="C258" t="s">
        <v>635</v>
      </c>
      <c r="D258">
        <v>0</v>
      </c>
      <c r="E258" t="s">
        <v>631</v>
      </c>
      <c r="F258" t="s">
        <v>630</v>
      </c>
      <c r="G258">
        <v>4750</v>
      </c>
      <c r="H258">
        <v>2333</v>
      </c>
      <c r="I258">
        <v>130</v>
      </c>
      <c r="J258">
        <v>360</v>
      </c>
      <c r="K258">
        <v>1</v>
      </c>
      <c r="L258" t="s">
        <v>632</v>
      </c>
      <c r="M258" t="s">
        <v>633</v>
      </c>
      <c r="N258">
        <f t="shared" si="6"/>
        <v>7083</v>
      </c>
    </row>
    <row r="259" spans="1:14" x14ac:dyDescent="0.3">
      <c r="A259" t="s">
        <v>1004</v>
      </c>
      <c r="B259" t="s">
        <v>629</v>
      </c>
      <c r="C259" t="s">
        <v>630</v>
      </c>
      <c r="D259">
        <v>0</v>
      </c>
      <c r="E259" t="s">
        <v>631</v>
      </c>
      <c r="F259" t="s">
        <v>635</v>
      </c>
      <c r="G259">
        <v>6822</v>
      </c>
      <c r="H259">
        <v>0</v>
      </c>
      <c r="I259">
        <v>141</v>
      </c>
      <c r="J259">
        <v>360</v>
      </c>
      <c r="K259">
        <v>1</v>
      </c>
      <c r="L259" t="s">
        <v>636</v>
      </c>
      <c r="M259" t="s">
        <v>633</v>
      </c>
      <c r="N259">
        <f t="shared" ref="N259:N322" si="7">G259+H259</f>
        <v>6822</v>
      </c>
    </row>
    <row r="260" spans="1:14" x14ac:dyDescent="0.3">
      <c r="A260" t="s">
        <v>1005</v>
      </c>
      <c r="B260" t="s">
        <v>629</v>
      </c>
      <c r="C260" t="s">
        <v>630</v>
      </c>
      <c r="D260">
        <v>0</v>
      </c>
      <c r="E260" t="s">
        <v>640</v>
      </c>
      <c r="F260" t="s">
        <v>630</v>
      </c>
      <c r="G260">
        <v>6216</v>
      </c>
      <c r="H260">
        <v>0</v>
      </c>
      <c r="I260">
        <v>133</v>
      </c>
      <c r="J260">
        <v>360</v>
      </c>
      <c r="K260">
        <v>1</v>
      </c>
      <c r="L260" t="s">
        <v>636</v>
      </c>
      <c r="M260" t="s">
        <v>637</v>
      </c>
      <c r="N260">
        <f t="shared" si="7"/>
        <v>6216</v>
      </c>
    </row>
    <row r="261" spans="1:14" x14ac:dyDescent="0.3">
      <c r="A261" t="s">
        <v>1006</v>
      </c>
      <c r="B261" t="s">
        <v>629</v>
      </c>
      <c r="C261" t="s">
        <v>630</v>
      </c>
      <c r="D261">
        <v>0</v>
      </c>
      <c r="E261" t="s">
        <v>631</v>
      </c>
      <c r="F261" t="s">
        <v>630</v>
      </c>
      <c r="G261">
        <v>2500</v>
      </c>
      <c r="H261">
        <v>0</v>
      </c>
      <c r="I261">
        <v>96</v>
      </c>
      <c r="J261">
        <v>480</v>
      </c>
      <c r="K261">
        <v>1</v>
      </c>
      <c r="L261" t="s">
        <v>646</v>
      </c>
      <c r="M261" t="s">
        <v>637</v>
      </c>
      <c r="N261">
        <f t="shared" si="7"/>
        <v>2500</v>
      </c>
    </row>
    <row r="262" spans="1:14" x14ac:dyDescent="0.3">
      <c r="A262" t="s">
        <v>1008</v>
      </c>
      <c r="B262" t="s">
        <v>629</v>
      </c>
      <c r="C262" t="s">
        <v>635</v>
      </c>
      <c r="D262">
        <v>1</v>
      </c>
      <c r="E262" t="s">
        <v>631</v>
      </c>
      <c r="F262" t="s">
        <v>630</v>
      </c>
      <c r="G262">
        <v>6325</v>
      </c>
      <c r="H262">
        <v>0</v>
      </c>
      <c r="I262">
        <v>175</v>
      </c>
      <c r="J262">
        <v>360</v>
      </c>
      <c r="K262">
        <v>1</v>
      </c>
      <c r="L262" t="s">
        <v>646</v>
      </c>
      <c r="M262" t="s">
        <v>633</v>
      </c>
      <c r="N262">
        <f t="shared" si="7"/>
        <v>6325</v>
      </c>
    </row>
    <row r="263" spans="1:14" x14ac:dyDescent="0.3">
      <c r="A263" t="s">
        <v>1010</v>
      </c>
      <c r="B263" t="s">
        <v>657</v>
      </c>
      <c r="C263" t="s">
        <v>630</v>
      </c>
      <c r="D263">
        <v>0</v>
      </c>
      <c r="E263" t="s">
        <v>631</v>
      </c>
      <c r="F263" t="s">
        <v>635</v>
      </c>
      <c r="G263">
        <v>15759</v>
      </c>
      <c r="H263">
        <v>0</v>
      </c>
      <c r="I263">
        <v>55</v>
      </c>
      <c r="J263">
        <v>360</v>
      </c>
      <c r="K263">
        <v>1</v>
      </c>
      <c r="L263" t="s">
        <v>646</v>
      </c>
      <c r="M263" t="s">
        <v>633</v>
      </c>
      <c r="N263">
        <f t="shared" si="7"/>
        <v>15759</v>
      </c>
    </row>
    <row r="264" spans="1:14" x14ac:dyDescent="0.3">
      <c r="A264" t="s">
        <v>1011</v>
      </c>
      <c r="B264" t="s">
        <v>629</v>
      </c>
      <c r="C264" t="s">
        <v>635</v>
      </c>
      <c r="D264">
        <v>2</v>
      </c>
      <c r="E264" t="s">
        <v>631</v>
      </c>
      <c r="F264" t="s">
        <v>630</v>
      </c>
      <c r="G264">
        <v>5185</v>
      </c>
      <c r="H264">
        <v>0</v>
      </c>
      <c r="I264">
        <v>155</v>
      </c>
      <c r="J264">
        <v>360</v>
      </c>
      <c r="K264">
        <v>1</v>
      </c>
      <c r="L264" t="s">
        <v>646</v>
      </c>
      <c r="M264" t="s">
        <v>633</v>
      </c>
      <c r="N264">
        <f t="shared" si="7"/>
        <v>5185</v>
      </c>
    </row>
    <row r="265" spans="1:14" x14ac:dyDescent="0.3">
      <c r="A265" t="s">
        <v>1013</v>
      </c>
      <c r="B265" t="s">
        <v>629</v>
      </c>
      <c r="C265" t="s">
        <v>630</v>
      </c>
      <c r="D265">
        <v>1</v>
      </c>
      <c r="E265" t="s">
        <v>631</v>
      </c>
      <c r="F265" t="s">
        <v>630</v>
      </c>
      <c r="G265">
        <v>3062</v>
      </c>
      <c r="H265">
        <v>1987</v>
      </c>
      <c r="I265">
        <v>111</v>
      </c>
      <c r="J265">
        <v>180</v>
      </c>
      <c r="K265">
        <v>0</v>
      </c>
      <c r="L265" t="s">
        <v>632</v>
      </c>
      <c r="M265" t="s">
        <v>637</v>
      </c>
      <c r="N265">
        <f t="shared" si="7"/>
        <v>5049</v>
      </c>
    </row>
    <row r="266" spans="1:14" x14ac:dyDescent="0.3">
      <c r="A266" t="s">
        <v>1015</v>
      </c>
      <c r="B266" t="s">
        <v>629</v>
      </c>
      <c r="C266" t="s">
        <v>635</v>
      </c>
      <c r="D266">
        <v>0</v>
      </c>
      <c r="E266" t="s">
        <v>631</v>
      </c>
      <c r="F266" t="s">
        <v>630</v>
      </c>
      <c r="G266">
        <v>4817</v>
      </c>
      <c r="H266">
        <v>923</v>
      </c>
      <c r="I266">
        <v>120</v>
      </c>
      <c r="J266">
        <v>180</v>
      </c>
      <c r="K266">
        <v>1</v>
      </c>
      <c r="L266" t="s">
        <v>632</v>
      </c>
      <c r="M266" t="s">
        <v>633</v>
      </c>
      <c r="N266">
        <f t="shared" si="7"/>
        <v>5740</v>
      </c>
    </row>
    <row r="267" spans="1:14" x14ac:dyDescent="0.3">
      <c r="A267" t="s">
        <v>1016</v>
      </c>
      <c r="B267" t="s">
        <v>629</v>
      </c>
      <c r="C267" t="s">
        <v>635</v>
      </c>
      <c r="D267" t="s">
        <v>645</v>
      </c>
      <c r="E267" t="s">
        <v>631</v>
      </c>
      <c r="F267" t="s">
        <v>630</v>
      </c>
      <c r="G267">
        <v>8750</v>
      </c>
      <c r="H267">
        <v>4996</v>
      </c>
      <c r="I267">
        <v>130</v>
      </c>
      <c r="J267">
        <v>360</v>
      </c>
      <c r="K267">
        <v>1</v>
      </c>
      <c r="L267" t="s">
        <v>636</v>
      </c>
      <c r="M267" t="s">
        <v>633</v>
      </c>
      <c r="N267">
        <f t="shared" si="7"/>
        <v>13746</v>
      </c>
    </row>
    <row r="268" spans="1:14" x14ac:dyDescent="0.3">
      <c r="A268" t="s">
        <v>1018</v>
      </c>
      <c r="B268" t="s">
        <v>629</v>
      </c>
      <c r="C268" t="s">
        <v>630</v>
      </c>
      <c r="D268">
        <v>0</v>
      </c>
      <c r="E268" t="s">
        <v>631</v>
      </c>
      <c r="F268" t="s">
        <v>630</v>
      </c>
      <c r="G268">
        <v>3069</v>
      </c>
      <c r="H268">
        <v>0</v>
      </c>
      <c r="I268">
        <v>71</v>
      </c>
      <c r="J268">
        <v>480</v>
      </c>
      <c r="K268">
        <v>1</v>
      </c>
      <c r="L268" t="s">
        <v>632</v>
      </c>
      <c r="M268" t="s">
        <v>637</v>
      </c>
      <c r="N268">
        <f t="shared" si="7"/>
        <v>3069</v>
      </c>
    </row>
    <row r="269" spans="1:14" x14ac:dyDescent="0.3">
      <c r="A269" t="s">
        <v>1019</v>
      </c>
      <c r="B269" t="s">
        <v>629</v>
      </c>
      <c r="C269" t="s">
        <v>635</v>
      </c>
      <c r="D269">
        <v>2</v>
      </c>
      <c r="E269" t="s">
        <v>631</v>
      </c>
      <c r="F269" t="s">
        <v>630</v>
      </c>
      <c r="G269">
        <v>5391</v>
      </c>
      <c r="H269">
        <v>0</v>
      </c>
      <c r="I269">
        <v>130</v>
      </c>
      <c r="J269">
        <v>360</v>
      </c>
      <c r="K269">
        <v>1</v>
      </c>
      <c r="L269" t="s">
        <v>632</v>
      </c>
      <c r="M269" t="s">
        <v>633</v>
      </c>
      <c r="N269">
        <f t="shared" si="7"/>
        <v>5391</v>
      </c>
    </row>
    <row r="270" spans="1:14" x14ac:dyDescent="0.3">
      <c r="A270" t="s">
        <v>1022</v>
      </c>
      <c r="B270" t="s">
        <v>657</v>
      </c>
      <c r="C270" t="s">
        <v>630</v>
      </c>
      <c r="D270">
        <v>0</v>
      </c>
      <c r="E270" t="s">
        <v>631</v>
      </c>
      <c r="F270" t="s">
        <v>630</v>
      </c>
      <c r="G270">
        <v>6000</v>
      </c>
      <c r="H270">
        <v>0</v>
      </c>
      <c r="I270">
        <v>156</v>
      </c>
      <c r="J270">
        <v>360</v>
      </c>
      <c r="K270">
        <v>1</v>
      </c>
      <c r="L270" t="s">
        <v>632</v>
      </c>
      <c r="M270" t="s">
        <v>633</v>
      </c>
      <c r="N270">
        <f t="shared" si="7"/>
        <v>6000</v>
      </c>
    </row>
    <row r="271" spans="1:14" x14ac:dyDescent="0.3">
      <c r="A271" t="s">
        <v>1023</v>
      </c>
      <c r="B271" t="s">
        <v>629</v>
      </c>
      <c r="C271" t="s">
        <v>630</v>
      </c>
      <c r="D271">
        <v>0</v>
      </c>
      <c r="E271" t="s">
        <v>631</v>
      </c>
      <c r="F271" t="s">
        <v>635</v>
      </c>
      <c r="G271">
        <v>7167</v>
      </c>
      <c r="H271">
        <v>0</v>
      </c>
      <c r="I271">
        <v>128</v>
      </c>
      <c r="J271">
        <v>360</v>
      </c>
      <c r="K271">
        <v>1</v>
      </c>
      <c r="L271" t="s">
        <v>632</v>
      </c>
      <c r="M271" t="s">
        <v>633</v>
      </c>
      <c r="N271">
        <f t="shared" si="7"/>
        <v>7167</v>
      </c>
    </row>
    <row r="272" spans="1:14" x14ac:dyDescent="0.3">
      <c r="A272" t="s">
        <v>1024</v>
      </c>
      <c r="B272" t="s">
        <v>629</v>
      </c>
      <c r="C272" t="s">
        <v>635</v>
      </c>
      <c r="D272">
        <v>2</v>
      </c>
      <c r="E272" t="s">
        <v>631</v>
      </c>
      <c r="F272" t="s">
        <v>630</v>
      </c>
      <c r="G272">
        <v>4566</v>
      </c>
      <c r="H272">
        <v>0</v>
      </c>
      <c r="I272">
        <v>100</v>
      </c>
      <c r="J272">
        <v>360</v>
      </c>
      <c r="K272">
        <v>1</v>
      </c>
      <c r="L272" t="s">
        <v>632</v>
      </c>
      <c r="M272" t="s">
        <v>637</v>
      </c>
      <c r="N272">
        <f t="shared" si="7"/>
        <v>4566</v>
      </c>
    </row>
    <row r="273" spans="1:14" x14ac:dyDescent="0.3">
      <c r="A273" t="s">
        <v>1026</v>
      </c>
      <c r="B273" t="s">
        <v>629</v>
      </c>
      <c r="C273" t="s">
        <v>630</v>
      </c>
      <c r="D273">
        <v>0</v>
      </c>
      <c r="E273" t="s">
        <v>640</v>
      </c>
      <c r="F273" t="s">
        <v>630</v>
      </c>
      <c r="G273">
        <v>2346</v>
      </c>
      <c r="H273">
        <v>1600</v>
      </c>
      <c r="I273">
        <v>132</v>
      </c>
      <c r="J273">
        <v>360</v>
      </c>
      <c r="K273">
        <v>1</v>
      </c>
      <c r="L273" t="s">
        <v>646</v>
      </c>
      <c r="M273" t="s">
        <v>633</v>
      </c>
      <c r="N273">
        <f t="shared" si="7"/>
        <v>3946</v>
      </c>
    </row>
    <row r="274" spans="1:14" x14ac:dyDescent="0.3">
      <c r="A274" t="s">
        <v>1028</v>
      </c>
      <c r="B274" t="s">
        <v>629</v>
      </c>
      <c r="C274" t="s">
        <v>635</v>
      </c>
      <c r="D274">
        <v>0</v>
      </c>
      <c r="E274" t="s">
        <v>631</v>
      </c>
      <c r="F274" t="s">
        <v>630</v>
      </c>
      <c r="G274">
        <v>2333</v>
      </c>
      <c r="H274">
        <v>2417</v>
      </c>
      <c r="I274">
        <v>136</v>
      </c>
      <c r="J274">
        <v>360</v>
      </c>
      <c r="K274">
        <v>1</v>
      </c>
      <c r="L274" t="s">
        <v>632</v>
      </c>
      <c r="M274" t="s">
        <v>633</v>
      </c>
      <c r="N274">
        <f t="shared" si="7"/>
        <v>4750</v>
      </c>
    </row>
    <row r="275" spans="1:14" x14ac:dyDescent="0.3">
      <c r="A275" t="s">
        <v>1029</v>
      </c>
      <c r="B275" t="s">
        <v>629</v>
      </c>
      <c r="C275" t="s">
        <v>635</v>
      </c>
      <c r="D275">
        <v>0</v>
      </c>
      <c r="E275" t="s">
        <v>631</v>
      </c>
      <c r="F275" t="s">
        <v>630</v>
      </c>
      <c r="G275">
        <v>5488</v>
      </c>
      <c r="H275">
        <v>0</v>
      </c>
      <c r="I275">
        <v>125</v>
      </c>
      <c r="J275">
        <v>360</v>
      </c>
      <c r="K275">
        <v>1</v>
      </c>
      <c r="L275" t="s">
        <v>636</v>
      </c>
      <c r="M275" t="s">
        <v>633</v>
      </c>
      <c r="N275">
        <f t="shared" si="7"/>
        <v>5488</v>
      </c>
    </row>
    <row r="276" spans="1:14" x14ac:dyDescent="0.3">
      <c r="A276" t="s">
        <v>1030</v>
      </c>
      <c r="B276" t="s">
        <v>629</v>
      </c>
      <c r="C276" t="s">
        <v>630</v>
      </c>
      <c r="D276" t="s">
        <v>645</v>
      </c>
      <c r="E276" t="s">
        <v>631</v>
      </c>
      <c r="F276" t="s">
        <v>630</v>
      </c>
      <c r="G276">
        <v>9167</v>
      </c>
      <c r="H276">
        <v>0</v>
      </c>
      <c r="I276">
        <v>185</v>
      </c>
      <c r="J276">
        <v>360</v>
      </c>
      <c r="K276">
        <v>1</v>
      </c>
      <c r="L276" t="s">
        <v>636</v>
      </c>
      <c r="M276" t="s">
        <v>633</v>
      </c>
      <c r="N276">
        <f t="shared" si="7"/>
        <v>9167</v>
      </c>
    </row>
    <row r="277" spans="1:14" x14ac:dyDescent="0.3">
      <c r="A277" t="s">
        <v>1031</v>
      </c>
      <c r="B277" t="s">
        <v>629</v>
      </c>
      <c r="C277" t="s">
        <v>635</v>
      </c>
      <c r="D277" t="s">
        <v>645</v>
      </c>
      <c r="E277" t="s">
        <v>631</v>
      </c>
      <c r="F277" t="s">
        <v>630</v>
      </c>
      <c r="G277">
        <v>9504</v>
      </c>
      <c r="H277">
        <v>0</v>
      </c>
      <c r="I277">
        <v>275</v>
      </c>
      <c r="J277">
        <v>360</v>
      </c>
      <c r="K277">
        <v>1</v>
      </c>
      <c r="L277" t="s">
        <v>636</v>
      </c>
      <c r="M277" t="s">
        <v>633</v>
      </c>
      <c r="N277">
        <f t="shared" si="7"/>
        <v>9504</v>
      </c>
    </row>
    <row r="278" spans="1:14" x14ac:dyDescent="0.3">
      <c r="A278" t="s">
        <v>1033</v>
      </c>
      <c r="B278" t="s">
        <v>629</v>
      </c>
      <c r="C278" t="s">
        <v>635</v>
      </c>
      <c r="D278">
        <v>2</v>
      </c>
      <c r="E278" t="s">
        <v>640</v>
      </c>
      <c r="F278" t="s">
        <v>630</v>
      </c>
      <c r="G278">
        <v>1993</v>
      </c>
      <c r="H278">
        <v>1625</v>
      </c>
      <c r="I278">
        <v>113</v>
      </c>
      <c r="J278">
        <v>180</v>
      </c>
      <c r="K278">
        <v>1</v>
      </c>
      <c r="L278" t="s">
        <v>646</v>
      </c>
      <c r="M278" t="s">
        <v>633</v>
      </c>
      <c r="N278">
        <f t="shared" si="7"/>
        <v>3618</v>
      </c>
    </row>
    <row r="279" spans="1:14" x14ac:dyDescent="0.3">
      <c r="A279" t="s">
        <v>1034</v>
      </c>
      <c r="B279" t="s">
        <v>629</v>
      </c>
      <c r="C279" t="s">
        <v>635</v>
      </c>
      <c r="D279">
        <v>2</v>
      </c>
      <c r="E279" t="s">
        <v>631</v>
      </c>
      <c r="F279" t="s">
        <v>630</v>
      </c>
      <c r="G279">
        <v>3100</v>
      </c>
      <c r="H279">
        <v>1400</v>
      </c>
      <c r="I279">
        <v>113</v>
      </c>
      <c r="J279">
        <v>360</v>
      </c>
      <c r="K279">
        <v>1</v>
      </c>
      <c r="L279" t="s">
        <v>632</v>
      </c>
      <c r="M279" t="s">
        <v>633</v>
      </c>
      <c r="N279">
        <f t="shared" si="7"/>
        <v>4500</v>
      </c>
    </row>
    <row r="280" spans="1:14" x14ac:dyDescent="0.3">
      <c r="A280" t="s">
        <v>1036</v>
      </c>
      <c r="B280" t="s">
        <v>657</v>
      </c>
      <c r="C280" t="s">
        <v>630</v>
      </c>
      <c r="D280">
        <v>0</v>
      </c>
      <c r="E280" t="s">
        <v>631</v>
      </c>
      <c r="F280" t="s">
        <v>630</v>
      </c>
      <c r="G280">
        <v>3180</v>
      </c>
      <c r="H280">
        <v>0</v>
      </c>
      <c r="I280">
        <v>71</v>
      </c>
      <c r="J280">
        <v>360</v>
      </c>
      <c r="K280">
        <v>0</v>
      </c>
      <c r="L280" t="s">
        <v>632</v>
      </c>
      <c r="M280" t="s">
        <v>637</v>
      </c>
      <c r="N280">
        <f t="shared" si="7"/>
        <v>3180</v>
      </c>
    </row>
    <row r="281" spans="1:14" x14ac:dyDescent="0.3">
      <c r="A281" t="s">
        <v>1037</v>
      </c>
      <c r="B281" t="s">
        <v>629</v>
      </c>
      <c r="C281" t="s">
        <v>635</v>
      </c>
      <c r="D281">
        <v>0</v>
      </c>
      <c r="E281" t="s">
        <v>631</v>
      </c>
      <c r="F281" t="s">
        <v>630</v>
      </c>
      <c r="G281">
        <v>3033</v>
      </c>
      <c r="H281">
        <v>1459</v>
      </c>
      <c r="I281">
        <v>95</v>
      </c>
      <c r="J281">
        <v>360</v>
      </c>
      <c r="K281">
        <v>1</v>
      </c>
      <c r="L281" t="s">
        <v>632</v>
      </c>
      <c r="M281" t="s">
        <v>633</v>
      </c>
      <c r="N281">
        <f t="shared" si="7"/>
        <v>4492</v>
      </c>
    </row>
    <row r="282" spans="1:14" x14ac:dyDescent="0.3">
      <c r="A282" t="s">
        <v>1038</v>
      </c>
      <c r="B282" t="s">
        <v>629</v>
      </c>
      <c r="C282" t="s">
        <v>630</v>
      </c>
      <c r="D282">
        <v>0</v>
      </c>
      <c r="E282" t="s">
        <v>640</v>
      </c>
      <c r="F282" t="s">
        <v>630</v>
      </c>
      <c r="G282">
        <v>3902</v>
      </c>
      <c r="H282">
        <v>1666</v>
      </c>
      <c r="I282">
        <v>109</v>
      </c>
      <c r="J282">
        <v>360</v>
      </c>
      <c r="K282">
        <v>1</v>
      </c>
      <c r="L282" t="s">
        <v>636</v>
      </c>
      <c r="M282" t="s">
        <v>633</v>
      </c>
      <c r="N282">
        <f t="shared" si="7"/>
        <v>5568</v>
      </c>
    </row>
    <row r="283" spans="1:14" x14ac:dyDescent="0.3">
      <c r="A283" t="s">
        <v>1039</v>
      </c>
      <c r="B283" t="s">
        <v>657</v>
      </c>
      <c r="C283" t="s">
        <v>630</v>
      </c>
      <c r="D283">
        <v>0</v>
      </c>
      <c r="E283" t="s">
        <v>631</v>
      </c>
      <c r="F283" t="s">
        <v>630</v>
      </c>
      <c r="G283">
        <v>1500</v>
      </c>
      <c r="H283">
        <v>1800</v>
      </c>
      <c r="I283">
        <v>103</v>
      </c>
      <c r="J283">
        <v>360</v>
      </c>
      <c r="K283">
        <v>0</v>
      </c>
      <c r="L283" t="s">
        <v>646</v>
      </c>
      <c r="M283" t="s">
        <v>637</v>
      </c>
      <c r="N283">
        <f t="shared" si="7"/>
        <v>3300</v>
      </c>
    </row>
    <row r="284" spans="1:14" x14ac:dyDescent="0.3">
      <c r="A284" t="s">
        <v>1040</v>
      </c>
      <c r="B284" t="s">
        <v>629</v>
      </c>
      <c r="C284" t="s">
        <v>635</v>
      </c>
      <c r="D284">
        <v>2</v>
      </c>
      <c r="E284" t="s">
        <v>640</v>
      </c>
      <c r="F284" t="s">
        <v>630</v>
      </c>
      <c r="G284">
        <v>2889</v>
      </c>
      <c r="H284">
        <v>0</v>
      </c>
      <c r="I284">
        <v>45</v>
      </c>
      <c r="J284">
        <v>180</v>
      </c>
      <c r="K284">
        <v>0</v>
      </c>
      <c r="L284" t="s">
        <v>632</v>
      </c>
      <c r="M284" t="s">
        <v>637</v>
      </c>
      <c r="N284">
        <f t="shared" si="7"/>
        <v>2889</v>
      </c>
    </row>
    <row r="285" spans="1:14" x14ac:dyDescent="0.3">
      <c r="A285" t="s">
        <v>1041</v>
      </c>
      <c r="B285" t="s">
        <v>629</v>
      </c>
      <c r="C285" t="s">
        <v>630</v>
      </c>
      <c r="D285">
        <v>0</v>
      </c>
      <c r="E285" t="s">
        <v>640</v>
      </c>
      <c r="F285" t="s">
        <v>630</v>
      </c>
      <c r="G285">
        <v>2755</v>
      </c>
      <c r="H285">
        <v>0</v>
      </c>
      <c r="I285">
        <v>65</v>
      </c>
      <c r="J285">
        <v>300</v>
      </c>
      <c r="K285">
        <v>1</v>
      </c>
      <c r="L285" t="s">
        <v>636</v>
      </c>
      <c r="M285" t="s">
        <v>637</v>
      </c>
      <c r="N285">
        <f t="shared" si="7"/>
        <v>2755</v>
      </c>
    </row>
    <row r="286" spans="1:14" x14ac:dyDescent="0.3">
      <c r="A286" t="s">
        <v>1042</v>
      </c>
      <c r="B286" t="s">
        <v>629</v>
      </c>
      <c r="C286" t="s">
        <v>630</v>
      </c>
      <c r="D286">
        <v>0</v>
      </c>
      <c r="E286" t="s">
        <v>631</v>
      </c>
      <c r="F286" t="s">
        <v>630</v>
      </c>
      <c r="G286">
        <v>2500</v>
      </c>
      <c r="H286">
        <v>20000</v>
      </c>
      <c r="I286">
        <v>103</v>
      </c>
      <c r="J286">
        <v>360</v>
      </c>
      <c r="K286">
        <v>1</v>
      </c>
      <c r="L286" t="s">
        <v>646</v>
      </c>
      <c r="M286" t="s">
        <v>633</v>
      </c>
      <c r="N286">
        <f t="shared" si="7"/>
        <v>22500</v>
      </c>
    </row>
    <row r="287" spans="1:14" x14ac:dyDescent="0.3">
      <c r="A287" t="s">
        <v>1043</v>
      </c>
      <c r="B287" t="s">
        <v>657</v>
      </c>
      <c r="C287" t="s">
        <v>630</v>
      </c>
      <c r="D287">
        <v>0</v>
      </c>
      <c r="E287" t="s">
        <v>640</v>
      </c>
      <c r="F287" t="s">
        <v>630</v>
      </c>
      <c r="G287">
        <v>1963</v>
      </c>
      <c r="H287">
        <v>0</v>
      </c>
      <c r="I287">
        <v>53</v>
      </c>
      <c r="J287">
        <v>360</v>
      </c>
      <c r="K287">
        <v>1</v>
      </c>
      <c r="L287" t="s">
        <v>646</v>
      </c>
      <c r="M287" t="s">
        <v>633</v>
      </c>
      <c r="N287">
        <f t="shared" si="7"/>
        <v>1963</v>
      </c>
    </row>
    <row r="288" spans="1:14" x14ac:dyDescent="0.3">
      <c r="A288" t="s">
        <v>1044</v>
      </c>
      <c r="B288" t="s">
        <v>657</v>
      </c>
      <c r="C288" t="s">
        <v>630</v>
      </c>
      <c r="D288">
        <v>0</v>
      </c>
      <c r="E288" t="s">
        <v>631</v>
      </c>
      <c r="F288" t="s">
        <v>635</v>
      </c>
      <c r="G288">
        <v>7441</v>
      </c>
      <c r="H288">
        <v>0</v>
      </c>
      <c r="I288">
        <v>194</v>
      </c>
      <c r="J288">
        <v>360</v>
      </c>
      <c r="K288">
        <v>1</v>
      </c>
      <c r="L288" t="s">
        <v>636</v>
      </c>
      <c r="M288" t="s">
        <v>637</v>
      </c>
      <c r="N288">
        <f t="shared" si="7"/>
        <v>7441</v>
      </c>
    </row>
    <row r="289" spans="1:14" x14ac:dyDescent="0.3">
      <c r="A289" t="s">
        <v>1045</v>
      </c>
      <c r="B289" t="s">
        <v>657</v>
      </c>
      <c r="C289" t="s">
        <v>630</v>
      </c>
      <c r="D289">
        <v>0</v>
      </c>
      <c r="E289" t="s">
        <v>631</v>
      </c>
      <c r="F289" t="s">
        <v>630</v>
      </c>
      <c r="G289">
        <v>4547</v>
      </c>
      <c r="H289">
        <v>0</v>
      </c>
      <c r="I289">
        <v>115</v>
      </c>
      <c r="J289">
        <v>360</v>
      </c>
      <c r="K289">
        <v>1</v>
      </c>
      <c r="L289" t="s">
        <v>646</v>
      </c>
      <c r="M289" t="s">
        <v>633</v>
      </c>
      <c r="N289">
        <f t="shared" si="7"/>
        <v>4547</v>
      </c>
    </row>
    <row r="290" spans="1:14" x14ac:dyDescent="0.3">
      <c r="A290" t="s">
        <v>1046</v>
      </c>
      <c r="B290" t="s">
        <v>629</v>
      </c>
      <c r="C290" t="s">
        <v>635</v>
      </c>
      <c r="D290">
        <v>0</v>
      </c>
      <c r="E290" t="s">
        <v>640</v>
      </c>
      <c r="F290" t="s">
        <v>630</v>
      </c>
      <c r="G290">
        <v>2167</v>
      </c>
      <c r="H290">
        <v>2400</v>
      </c>
      <c r="I290">
        <v>115</v>
      </c>
      <c r="J290">
        <v>360</v>
      </c>
      <c r="K290">
        <v>1</v>
      </c>
      <c r="L290" t="s">
        <v>632</v>
      </c>
      <c r="M290" t="s">
        <v>633</v>
      </c>
      <c r="N290">
        <f t="shared" si="7"/>
        <v>4567</v>
      </c>
    </row>
    <row r="291" spans="1:14" x14ac:dyDescent="0.3">
      <c r="A291" t="s">
        <v>1047</v>
      </c>
      <c r="B291" t="s">
        <v>657</v>
      </c>
      <c r="C291" t="s">
        <v>630</v>
      </c>
      <c r="D291">
        <v>0</v>
      </c>
      <c r="E291" t="s">
        <v>640</v>
      </c>
      <c r="F291" t="s">
        <v>630</v>
      </c>
      <c r="G291">
        <v>2213</v>
      </c>
      <c r="H291">
        <v>0</v>
      </c>
      <c r="I291">
        <v>66</v>
      </c>
      <c r="J291">
        <v>360</v>
      </c>
      <c r="K291">
        <v>1</v>
      </c>
      <c r="L291" t="s">
        <v>636</v>
      </c>
      <c r="M291" t="s">
        <v>633</v>
      </c>
      <c r="N291">
        <f t="shared" si="7"/>
        <v>2213</v>
      </c>
    </row>
    <row r="292" spans="1:14" x14ac:dyDescent="0.3">
      <c r="A292" t="s">
        <v>1048</v>
      </c>
      <c r="B292" t="s">
        <v>629</v>
      </c>
      <c r="C292" t="s">
        <v>635</v>
      </c>
      <c r="D292">
        <v>1</v>
      </c>
      <c r="E292" t="s">
        <v>631</v>
      </c>
      <c r="F292" t="s">
        <v>630</v>
      </c>
      <c r="G292">
        <v>8300</v>
      </c>
      <c r="H292">
        <v>0</v>
      </c>
      <c r="I292">
        <v>152</v>
      </c>
      <c r="J292">
        <v>300</v>
      </c>
      <c r="K292">
        <v>0</v>
      </c>
      <c r="L292" t="s">
        <v>646</v>
      </c>
      <c r="M292" t="s">
        <v>637</v>
      </c>
      <c r="N292">
        <f t="shared" si="7"/>
        <v>8300</v>
      </c>
    </row>
    <row r="293" spans="1:14" x14ac:dyDescent="0.3">
      <c r="A293" t="s">
        <v>1050</v>
      </c>
      <c r="B293" t="s">
        <v>657</v>
      </c>
      <c r="C293" t="s">
        <v>630</v>
      </c>
      <c r="D293">
        <v>1</v>
      </c>
      <c r="E293" t="s">
        <v>640</v>
      </c>
      <c r="F293" t="s">
        <v>635</v>
      </c>
      <c r="G293">
        <v>3867</v>
      </c>
      <c r="H293">
        <v>0</v>
      </c>
      <c r="I293">
        <v>62</v>
      </c>
      <c r="J293">
        <v>360</v>
      </c>
      <c r="K293">
        <v>1</v>
      </c>
      <c r="L293" t="s">
        <v>646</v>
      </c>
      <c r="M293" t="s">
        <v>637</v>
      </c>
      <c r="N293">
        <f t="shared" si="7"/>
        <v>3867</v>
      </c>
    </row>
    <row r="294" spans="1:14" x14ac:dyDescent="0.3">
      <c r="A294" t="s">
        <v>1052</v>
      </c>
      <c r="B294" t="s">
        <v>629</v>
      </c>
      <c r="C294" t="s">
        <v>635</v>
      </c>
      <c r="D294">
        <v>0</v>
      </c>
      <c r="E294" t="s">
        <v>640</v>
      </c>
      <c r="F294" t="s">
        <v>630</v>
      </c>
      <c r="G294">
        <v>6096</v>
      </c>
      <c r="H294">
        <v>0</v>
      </c>
      <c r="I294">
        <v>218</v>
      </c>
      <c r="J294">
        <v>360</v>
      </c>
      <c r="K294">
        <v>0</v>
      </c>
      <c r="L294" t="s">
        <v>636</v>
      </c>
      <c r="M294" t="s">
        <v>637</v>
      </c>
      <c r="N294">
        <f t="shared" si="7"/>
        <v>6096</v>
      </c>
    </row>
    <row r="295" spans="1:14" x14ac:dyDescent="0.3">
      <c r="A295" t="s">
        <v>1053</v>
      </c>
      <c r="B295" t="s">
        <v>629</v>
      </c>
      <c r="C295" t="s">
        <v>635</v>
      </c>
      <c r="D295">
        <v>0</v>
      </c>
      <c r="E295" t="s">
        <v>640</v>
      </c>
      <c r="F295" t="s">
        <v>630</v>
      </c>
      <c r="G295">
        <v>2253</v>
      </c>
      <c r="H295">
        <v>2033</v>
      </c>
      <c r="I295">
        <v>110</v>
      </c>
      <c r="J295">
        <v>360</v>
      </c>
      <c r="K295">
        <v>1</v>
      </c>
      <c r="L295" t="s">
        <v>636</v>
      </c>
      <c r="M295" t="s">
        <v>633</v>
      </c>
      <c r="N295">
        <f t="shared" si="7"/>
        <v>4286</v>
      </c>
    </row>
    <row r="296" spans="1:14" x14ac:dyDescent="0.3">
      <c r="A296" t="s">
        <v>1054</v>
      </c>
      <c r="B296" t="s">
        <v>657</v>
      </c>
      <c r="C296" t="s">
        <v>635</v>
      </c>
      <c r="D296">
        <v>0</v>
      </c>
      <c r="E296" t="s">
        <v>640</v>
      </c>
      <c r="F296" t="s">
        <v>630</v>
      </c>
      <c r="G296">
        <v>2149</v>
      </c>
      <c r="H296">
        <v>3237</v>
      </c>
      <c r="I296">
        <v>178</v>
      </c>
      <c r="J296">
        <v>360</v>
      </c>
      <c r="K296">
        <v>0</v>
      </c>
      <c r="L296" t="s">
        <v>646</v>
      </c>
      <c r="M296" t="s">
        <v>637</v>
      </c>
      <c r="N296">
        <f t="shared" si="7"/>
        <v>5386</v>
      </c>
    </row>
    <row r="297" spans="1:14" x14ac:dyDescent="0.3">
      <c r="A297" t="s">
        <v>1055</v>
      </c>
      <c r="B297" t="s">
        <v>657</v>
      </c>
      <c r="C297" t="s">
        <v>630</v>
      </c>
      <c r="D297">
        <v>0</v>
      </c>
      <c r="E297" t="s">
        <v>631</v>
      </c>
      <c r="F297" t="s">
        <v>630</v>
      </c>
      <c r="G297">
        <v>2995</v>
      </c>
      <c r="H297">
        <v>0</v>
      </c>
      <c r="I297">
        <v>60</v>
      </c>
      <c r="J297">
        <v>360</v>
      </c>
      <c r="K297">
        <v>1</v>
      </c>
      <c r="L297" t="s">
        <v>632</v>
      </c>
      <c r="M297" t="s">
        <v>633</v>
      </c>
      <c r="N297">
        <f t="shared" si="7"/>
        <v>2995</v>
      </c>
    </row>
    <row r="298" spans="1:14" x14ac:dyDescent="0.3">
      <c r="A298" t="s">
        <v>1056</v>
      </c>
      <c r="B298" t="s">
        <v>657</v>
      </c>
      <c r="C298" t="s">
        <v>630</v>
      </c>
      <c r="D298">
        <v>1</v>
      </c>
      <c r="E298" t="s">
        <v>631</v>
      </c>
      <c r="F298" t="s">
        <v>630</v>
      </c>
      <c r="G298">
        <v>2600</v>
      </c>
      <c r="H298">
        <v>0</v>
      </c>
      <c r="I298">
        <v>160</v>
      </c>
      <c r="J298">
        <v>360</v>
      </c>
      <c r="K298">
        <v>1</v>
      </c>
      <c r="L298" t="s">
        <v>632</v>
      </c>
      <c r="M298" t="s">
        <v>637</v>
      </c>
      <c r="N298">
        <f t="shared" si="7"/>
        <v>2600</v>
      </c>
    </row>
    <row r="299" spans="1:14" x14ac:dyDescent="0.3">
      <c r="A299" t="s">
        <v>1057</v>
      </c>
      <c r="B299" t="s">
        <v>629</v>
      </c>
      <c r="C299" t="s">
        <v>635</v>
      </c>
      <c r="D299">
        <v>2</v>
      </c>
      <c r="E299" t="s">
        <v>631</v>
      </c>
      <c r="F299" t="s">
        <v>635</v>
      </c>
      <c r="G299">
        <v>1600</v>
      </c>
      <c r="H299">
        <v>20000</v>
      </c>
      <c r="I299">
        <v>239</v>
      </c>
      <c r="J299">
        <v>360</v>
      </c>
      <c r="K299">
        <v>1</v>
      </c>
      <c r="L299" t="s">
        <v>632</v>
      </c>
      <c r="M299" t="s">
        <v>637</v>
      </c>
      <c r="N299">
        <f t="shared" si="7"/>
        <v>21600</v>
      </c>
    </row>
    <row r="300" spans="1:14" x14ac:dyDescent="0.3">
      <c r="A300" t="s">
        <v>1058</v>
      </c>
      <c r="B300" t="s">
        <v>629</v>
      </c>
      <c r="C300" t="s">
        <v>635</v>
      </c>
      <c r="D300">
        <v>0</v>
      </c>
      <c r="E300" t="s">
        <v>631</v>
      </c>
      <c r="F300" t="s">
        <v>630</v>
      </c>
      <c r="G300">
        <v>1025</v>
      </c>
      <c r="H300">
        <v>2773</v>
      </c>
      <c r="I300">
        <v>112</v>
      </c>
      <c r="J300">
        <v>360</v>
      </c>
      <c r="K300">
        <v>1</v>
      </c>
      <c r="L300" t="s">
        <v>636</v>
      </c>
      <c r="M300" t="s">
        <v>633</v>
      </c>
      <c r="N300">
        <f t="shared" si="7"/>
        <v>3798</v>
      </c>
    </row>
    <row r="301" spans="1:14" x14ac:dyDescent="0.3">
      <c r="A301" t="s">
        <v>1059</v>
      </c>
      <c r="B301" t="s">
        <v>629</v>
      </c>
      <c r="C301" t="s">
        <v>635</v>
      </c>
      <c r="D301">
        <v>0</v>
      </c>
      <c r="E301" t="s">
        <v>631</v>
      </c>
      <c r="F301" t="s">
        <v>630</v>
      </c>
      <c r="G301">
        <v>3246</v>
      </c>
      <c r="H301">
        <v>1417</v>
      </c>
      <c r="I301">
        <v>138</v>
      </c>
      <c r="J301">
        <v>360</v>
      </c>
      <c r="K301">
        <v>1</v>
      </c>
      <c r="L301" t="s">
        <v>646</v>
      </c>
      <c r="M301" t="s">
        <v>633</v>
      </c>
      <c r="N301">
        <f t="shared" si="7"/>
        <v>4663</v>
      </c>
    </row>
    <row r="302" spans="1:14" x14ac:dyDescent="0.3">
      <c r="A302" t="s">
        <v>1060</v>
      </c>
      <c r="B302" t="s">
        <v>629</v>
      </c>
      <c r="C302" t="s">
        <v>635</v>
      </c>
      <c r="D302">
        <v>0</v>
      </c>
      <c r="E302" t="s">
        <v>631</v>
      </c>
      <c r="F302" t="s">
        <v>630</v>
      </c>
      <c r="G302">
        <v>5829</v>
      </c>
      <c r="H302">
        <v>0</v>
      </c>
      <c r="I302">
        <v>138</v>
      </c>
      <c r="J302">
        <v>360</v>
      </c>
      <c r="K302">
        <v>1</v>
      </c>
      <c r="L302" t="s">
        <v>636</v>
      </c>
      <c r="M302" t="s">
        <v>633</v>
      </c>
      <c r="N302">
        <f t="shared" si="7"/>
        <v>5829</v>
      </c>
    </row>
    <row r="303" spans="1:14" x14ac:dyDescent="0.3">
      <c r="A303" t="s">
        <v>1062</v>
      </c>
      <c r="B303" t="s">
        <v>629</v>
      </c>
      <c r="C303" t="s">
        <v>635</v>
      </c>
      <c r="D303">
        <v>0</v>
      </c>
      <c r="E303" t="s">
        <v>631</v>
      </c>
      <c r="F303" t="s">
        <v>630</v>
      </c>
      <c r="G303">
        <v>1820</v>
      </c>
      <c r="H303">
        <v>1719</v>
      </c>
      <c r="I303">
        <v>100</v>
      </c>
      <c r="J303">
        <v>360</v>
      </c>
      <c r="K303">
        <v>1</v>
      </c>
      <c r="L303" t="s">
        <v>632</v>
      </c>
      <c r="M303" t="s">
        <v>633</v>
      </c>
      <c r="N303">
        <f t="shared" si="7"/>
        <v>3539</v>
      </c>
    </row>
    <row r="304" spans="1:14" x14ac:dyDescent="0.3">
      <c r="A304" t="s">
        <v>1064</v>
      </c>
      <c r="B304" t="s">
        <v>629</v>
      </c>
      <c r="C304" t="s">
        <v>635</v>
      </c>
      <c r="D304">
        <v>0</v>
      </c>
      <c r="E304" t="s">
        <v>631</v>
      </c>
      <c r="F304" t="s">
        <v>630</v>
      </c>
      <c r="G304">
        <v>14880</v>
      </c>
      <c r="H304">
        <v>0</v>
      </c>
      <c r="I304">
        <v>96</v>
      </c>
      <c r="J304">
        <v>360</v>
      </c>
      <c r="K304">
        <v>1</v>
      </c>
      <c r="L304" t="s">
        <v>646</v>
      </c>
      <c r="M304" t="s">
        <v>633</v>
      </c>
      <c r="N304">
        <f t="shared" si="7"/>
        <v>14880</v>
      </c>
    </row>
    <row r="305" spans="1:14" x14ac:dyDescent="0.3">
      <c r="A305" t="s">
        <v>1065</v>
      </c>
      <c r="B305" t="s">
        <v>629</v>
      </c>
      <c r="C305" t="s">
        <v>635</v>
      </c>
      <c r="D305">
        <v>0</v>
      </c>
      <c r="E305" t="s">
        <v>631</v>
      </c>
      <c r="F305" t="s">
        <v>630</v>
      </c>
      <c r="G305">
        <v>2666</v>
      </c>
      <c r="H305">
        <v>4300</v>
      </c>
      <c r="I305">
        <v>121</v>
      </c>
      <c r="J305">
        <v>360</v>
      </c>
      <c r="K305">
        <v>1</v>
      </c>
      <c r="L305" t="s">
        <v>636</v>
      </c>
      <c r="M305" t="s">
        <v>633</v>
      </c>
      <c r="N305">
        <f t="shared" si="7"/>
        <v>6966</v>
      </c>
    </row>
    <row r="306" spans="1:14" x14ac:dyDescent="0.3">
      <c r="A306" t="s">
        <v>1066</v>
      </c>
      <c r="B306" t="s">
        <v>657</v>
      </c>
      <c r="C306" t="s">
        <v>630</v>
      </c>
      <c r="D306">
        <v>1</v>
      </c>
      <c r="E306" t="s">
        <v>640</v>
      </c>
      <c r="F306" t="s">
        <v>630</v>
      </c>
      <c r="G306">
        <v>4606</v>
      </c>
      <c r="H306">
        <v>0</v>
      </c>
      <c r="I306">
        <v>81</v>
      </c>
      <c r="J306">
        <v>360</v>
      </c>
      <c r="K306">
        <v>1</v>
      </c>
      <c r="L306" t="s">
        <v>636</v>
      </c>
      <c r="M306" t="s">
        <v>637</v>
      </c>
      <c r="N306">
        <f t="shared" si="7"/>
        <v>4606</v>
      </c>
    </row>
    <row r="307" spans="1:14" x14ac:dyDescent="0.3">
      <c r="A307" t="s">
        <v>1067</v>
      </c>
      <c r="B307" t="s">
        <v>629</v>
      </c>
      <c r="C307" t="s">
        <v>635</v>
      </c>
      <c r="D307">
        <v>2</v>
      </c>
      <c r="E307" t="s">
        <v>631</v>
      </c>
      <c r="F307" t="s">
        <v>630</v>
      </c>
      <c r="G307">
        <v>5935</v>
      </c>
      <c r="H307">
        <v>0</v>
      </c>
      <c r="I307">
        <v>133</v>
      </c>
      <c r="J307">
        <v>360</v>
      </c>
      <c r="K307">
        <v>1</v>
      </c>
      <c r="L307" t="s">
        <v>646</v>
      </c>
      <c r="M307" t="s">
        <v>633</v>
      </c>
      <c r="N307">
        <f t="shared" si="7"/>
        <v>5935</v>
      </c>
    </row>
    <row r="308" spans="1:14" x14ac:dyDescent="0.3">
      <c r="A308" t="s">
        <v>1068</v>
      </c>
      <c r="B308" t="s">
        <v>629</v>
      </c>
      <c r="C308" t="s">
        <v>635</v>
      </c>
      <c r="D308">
        <v>0</v>
      </c>
      <c r="E308" t="s">
        <v>631</v>
      </c>
      <c r="F308" t="s">
        <v>630</v>
      </c>
      <c r="G308">
        <v>2920</v>
      </c>
      <c r="H308" s="1">
        <v>1612000084</v>
      </c>
      <c r="I308">
        <v>87</v>
      </c>
      <c r="J308">
        <v>360</v>
      </c>
      <c r="K308">
        <v>1</v>
      </c>
      <c r="L308" t="s">
        <v>636</v>
      </c>
      <c r="M308" t="s">
        <v>633</v>
      </c>
      <c r="N308">
        <f t="shared" si="7"/>
        <v>1612003004</v>
      </c>
    </row>
    <row r="309" spans="1:14" x14ac:dyDescent="0.3">
      <c r="A309" t="s">
        <v>1069</v>
      </c>
      <c r="B309" t="s">
        <v>629</v>
      </c>
      <c r="C309" t="s">
        <v>630</v>
      </c>
      <c r="D309">
        <v>0</v>
      </c>
      <c r="E309" t="s">
        <v>640</v>
      </c>
      <c r="F309" t="s">
        <v>630</v>
      </c>
      <c r="G309">
        <v>2717</v>
      </c>
      <c r="H309">
        <v>0</v>
      </c>
      <c r="I309">
        <v>60</v>
      </c>
      <c r="J309">
        <v>180</v>
      </c>
      <c r="K309">
        <v>1</v>
      </c>
      <c r="L309" t="s">
        <v>632</v>
      </c>
      <c r="M309" t="s">
        <v>633</v>
      </c>
      <c r="N309">
        <f t="shared" si="7"/>
        <v>2717</v>
      </c>
    </row>
    <row r="310" spans="1:14" x14ac:dyDescent="0.3">
      <c r="A310" t="s">
        <v>1070</v>
      </c>
      <c r="B310" t="s">
        <v>657</v>
      </c>
      <c r="C310" t="s">
        <v>630</v>
      </c>
      <c r="D310">
        <v>1</v>
      </c>
      <c r="E310" t="s">
        <v>631</v>
      </c>
      <c r="F310" t="s">
        <v>635</v>
      </c>
      <c r="G310">
        <v>8624</v>
      </c>
      <c r="H310">
        <v>0</v>
      </c>
      <c r="I310">
        <v>150</v>
      </c>
      <c r="J310">
        <v>360</v>
      </c>
      <c r="K310">
        <v>1</v>
      </c>
      <c r="L310" t="s">
        <v>646</v>
      </c>
      <c r="M310" t="s">
        <v>633</v>
      </c>
      <c r="N310">
        <f t="shared" si="7"/>
        <v>8624</v>
      </c>
    </row>
    <row r="311" spans="1:14" x14ac:dyDescent="0.3">
      <c r="A311" t="s">
        <v>1071</v>
      </c>
      <c r="B311" t="s">
        <v>629</v>
      </c>
      <c r="C311" t="s">
        <v>630</v>
      </c>
      <c r="D311">
        <v>0</v>
      </c>
      <c r="E311" t="s">
        <v>631</v>
      </c>
      <c r="F311" t="s">
        <v>630</v>
      </c>
      <c r="G311">
        <v>6500</v>
      </c>
      <c r="H311">
        <v>0</v>
      </c>
      <c r="I311">
        <v>105</v>
      </c>
      <c r="J311">
        <v>360</v>
      </c>
      <c r="K311">
        <v>0</v>
      </c>
      <c r="L311" t="s">
        <v>636</v>
      </c>
      <c r="M311" t="s">
        <v>637</v>
      </c>
      <c r="N311">
        <f t="shared" si="7"/>
        <v>6500</v>
      </c>
    </row>
    <row r="312" spans="1:14" x14ac:dyDescent="0.3">
      <c r="A312" t="s">
        <v>1073</v>
      </c>
      <c r="B312" t="s">
        <v>629</v>
      </c>
      <c r="C312" t="s">
        <v>635</v>
      </c>
      <c r="D312">
        <v>0</v>
      </c>
      <c r="E312" t="s">
        <v>631</v>
      </c>
      <c r="F312" t="s">
        <v>630</v>
      </c>
      <c r="G312">
        <v>2425</v>
      </c>
      <c r="H312">
        <v>2340</v>
      </c>
      <c r="I312">
        <v>143</v>
      </c>
      <c r="J312">
        <v>360</v>
      </c>
      <c r="K312">
        <v>1</v>
      </c>
      <c r="L312" t="s">
        <v>646</v>
      </c>
      <c r="M312" t="s">
        <v>633</v>
      </c>
      <c r="N312">
        <f t="shared" si="7"/>
        <v>4765</v>
      </c>
    </row>
    <row r="313" spans="1:14" x14ac:dyDescent="0.3">
      <c r="A313" t="s">
        <v>1074</v>
      </c>
      <c r="B313" t="s">
        <v>629</v>
      </c>
      <c r="C313" t="s">
        <v>630</v>
      </c>
      <c r="D313">
        <v>0</v>
      </c>
      <c r="E313" t="s">
        <v>631</v>
      </c>
      <c r="F313" t="s">
        <v>630</v>
      </c>
      <c r="G313">
        <v>3750</v>
      </c>
      <c r="H313">
        <v>0</v>
      </c>
      <c r="I313">
        <v>100</v>
      </c>
      <c r="J313">
        <v>360</v>
      </c>
      <c r="K313">
        <v>1</v>
      </c>
      <c r="L313" t="s">
        <v>632</v>
      </c>
      <c r="M313" t="s">
        <v>633</v>
      </c>
      <c r="N313">
        <f t="shared" si="7"/>
        <v>3750</v>
      </c>
    </row>
    <row r="314" spans="1:14" x14ac:dyDescent="0.3">
      <c r="A314" t="s">
        <v>1076</v>
      </c>
      <c r="B314" t="s">
        <v>629</v>
      </c>
      <c r="C314" t="s">
        <v>630</v>
      </c>
      <c r="D314">
        <v>0</v>
      </c>
      <c r="E314" t="s">
        <v>631</v>
      </c>
      <c r="F314" t="s">
        <v>630</v>
      </c>
      <c r="G314">
        <v>1926</v>
      </c>
      <c r="H314">
        <v>1851</v>
      </c>
      <c r="I314">
        <v>50</v>
      </c>
      <c r="J314">
        <v>360</v>
      </c>
      <c r="K314">
        <v>1</v>
      </c>
      <c r="L314" t="s">
        <v>646</v>
      </c>
      <c r="M314" t="s">
        <v>633</v>
      </c>
      <c r="N314">
        <f t="shared" si="7"/>
        <v>3777</v>
      </c>
    </row>
    <row r="315" spans="1:14" x14ac:dyDescent="0.3">
      <c r="A315" t="s">
        <v>1078</v>
      </c>
      <c r="B315" t="s">
        <v>629</v>
      </c>
      <c r="C315" t="s">
        <v>630</v>
      </c>
      <c r="D315">
        <v>0</v>
      </c>
      <c r="E315" t="s">
        <v>631</v>
      </c>
      <c r="F315" t="s">
        <v>635</v>
      </c>
      <c r="G315">
        <v>10416</v>
      </c>
      <c r="H315">
        <v>0</v>
      </c>
      <c r="I315">
        <v>187</v>
      </c>
      <c r="J315">
        <v>360</v>
      </c>
      <c r="K315">
        <v>0</v>
      </c>
      <c r="L315" t="s">
        <v>632</v>
      </c>
      <c r="M315" t="s">
        <v>637</v>
      </c>
      <c r="N315">
        <f t="shared" si="7"/>
        <v>10416</v>
      </c>
    </row>
    <row r="316" spans="1:14" x14ac:dyDescent="0.3">
      <c r="A316" t="s">
        <v>1079</v>
      </c>
      <c r="B316" t="s">
        <v>657</v>
      </c>
      <c r="C316" t="s">
        <v>635</v>
      </c>
      <c r="D316">
        <v>0</v>
      </c>
      <c r="E316" t="s">
        <v>640</v>
      </c>
      <c r="F316" t="s">
        <v>635</v>
      </c>
      <c r="G316">
        <v>7142</v>
      </c>
      <c r="H316">
        <v>0</v>
      </c>
      <c r="I316">
        <v>138</v>
      </c>
      <c r="J316">
        <v>360</v>
      </c>
      <c r="K316">
        <v>1</v>
      </c>
      <c r="L316" t="s">
        <v>636</v>
      </c>
      <c r="M316" t="s">
        <v>633</v>
      </c>
      <c r="N316">
        <f t="shared" si="7"/>
        <v>7142</v>
      </c>
    </row>
    <row r="317" spans="1:14" x14ac:dyDescent="0.3">
      <c r="A317" t="s">
        <v>1080</v>
      </c>
      <c r="B317" t="s">
        <v>629</v>
      </c>
      <c r="C317" t="s">
        <v>630</v>
      </c>
      <c r="D317">
        <v>0</v>
      </c>
      <c r="E317" t="s">
        <v>631</v>
      </c>
      <c r="F317" t="s">
        <v>630</v>
      </c>
      <c r="G317">
        <v>3660</v>
      </c>
      <c r="H317">
        <v>5064</v>
      </c>
      <c r="I317">
        <v>187</v>
      </c>
      <c r="J317">
        <v>360</v>
      </c>
      <c r="K317">
        <v>1</v>
      </c>
      <c r="L317" t="s">
        <v>646</v>
      </c>
      <c r="M317" t="s">
        <v>633</v>
      </c>
      <c r="N317">
        <f t="shared" si="7"/>
        <v>8724</v>
      </c>
    </row>
    <row r="318" spans="1:14" x14ac:dyDescent="0.3">
      <c r="A318" t="s">
        <v>1081</v>
      </c>
      <c r="B318" t="s">
        <v>629</v>
      </c>
      <c r="C318" t="s">
        <v>635</v>
      </c>
      <c r="D318">
        <v>0</v>
      </c>
      <c r="E318" t="s">
        <v>631</v>
      </c>
      <c r="F318" t="s">
        <v>630</v>
      </c>
      <c r="G318">
        <v>7901</v>
      </c>
      <c r="H318">
        <v>1833</v>
      </c>
      <c r="I318">
        <v>180</v>
      </c>
      <c r="J318">
        <v>360</v>
      </c>
      <c r="K318">
        <v>1</v>
      </c>
      <c r="L318" t="s">
        <v>636</v>
      </c>
      <c r="M318" t="s">
        <v>633</v>
      </c>
      <c r="N318">
        <f t="shared" si="7"/>
        <v>9734</v>
      </c>
    </row>
    <row r="319" spans="1:14" x14ac:dyDescent="0.3">
      <c r="A319" t="s">
        <v>1082</v>
      </c>
      <c r="B319" t="s">
        <v>629</v>
      </c>
      <c r="C319" t="s">
        <v>630</v>
      </c>
      <c r="D319" t="s">
        <v>645</v>
      </c>
      <c r="E319" t="s">
        <v>640</v>
      </c>
      <c r="F319" t="s">
        <v>630</v>
      </c>
      <c r="G319">
        <v>4707</v>
      </c>
      <c r="H319">
        <v>1993</v>
      </c>
      <c r="I319">
        <v>148</v>
      </c>
      <c r="J319">
        <v>360</v>
      </c>
      <c r="K319">
        <v>1</v>
      </c>
      <c r="L319" t="s">
        <v>646</v>
      </c>
      <c r="M319" t="s">
        <v>633</v>
      </c>
      <c r="N319">
        <f t="shared" si="7"/>
        <v>6700</v>
      </c>
    </row>
    <row r="320" spans="1:14" x14ac:dyDescent="0.3">
      <c r="A320" t="s">
        <v>1083</v>
      </c>
      <c r="B320" t="s">
        <v>629</v>
      </c>
      <c r="C320" t="s">
        <v>630</v>
      </c>
      <c r="D320">
        <v>1</v>
      </c>
      <c r="E320" t="s">
        <v>631</v>
      </c>
      <c r="F320" t="s">
        <v>630</v>
      </c>
      <c r="G320">
        <v>37719</v>
      </c>
      <c r="H320">
        <v>0</v>
      </c>
      <c r="I320">
        <v>152</v>
      </c>
      <c r="J320">
        <v>360</v>
      </c>
      <c r="K320">
        <v>1</v>
      </c>
      <c r="L320" t="s">
        <v>646</v>
      </c>
      <c r="M320" t="s">
        <v>633</v>
      </c>
      <c r="N320">
        <f t="shared" si="7"/>
        <v>37719</v>
      </c>
    </row>
    <row r="321" spans="1:14" x14ac:dyDescent="0.3">
      <c r="A321" t="s">
        <v>1085</v>
      </c>
      <c r="B321" t="s">
        <v>629</v>
      </c>
      <c r="C321" t="s">
        <v>635</v>
      </c>
      <c r="D321">
        <v>1</v>
      </c>
      <c r="E321" t="s">
        <v>631</v>
      </c>
      <c r="F321" t="s">
        <v>635</v>
      </c>
      <c r="G321">
        <v>3466</v>
      </c>
      <c r="H321">
        <v>1210</v>
      </c>
      <c r="I321">
        <v>130</v>
      </c>
      <c r="J321">
        <v>360</v>
      </c>
      <c r="K321">
        <v>1</v>
      </c>
      <c r="L321" t="s">
        <v>636</v>
      </c>
      <c r="M321" t="s">
        <v>633</v>
      </c>
      <c r="N321">
        <f t="shared" si="7"/>
        <v>4676</v>
      </c>
    </row>
    <row r="322" spans="1:14" x14ac:dyDescent="0.3">
      <c r="A322" t="s">
        <v>1086</v>
      </c>
      <c r="B322" t="s">
        <v>629</v>
      </c>
      <c r="C322" t="s">
        <v>635</v>
      </c>
      <c r="D322">
        <v>2</v>
      </c>
      <c r="E322" t="s">
        <v>640</v>
      </c>
      <c r="F322" t="s">
        <v>630</v>
      </c>
      <c r="G322">
        <v>4652</v>
      </c>
      <c r="H322">
        <v>0</v>
      </c>
      <c r="I322">
        <v>110</v>
      </c>
      <c r="J322">
        <v>360</v>
      </c>
      <c r="K322">
        <v>1</v>
      </c>
      <c r="L322" t="s">
        <v>636</v>
      </c>
      <c r="M322" t="s">
        <v>633</v>
      </c>
      <c r="N322">
        <f t="shared" si="7"/>
        <v>4652</v>
      </c>
    </row>
    <row r="323" spans="1:14" x14ac:dyDescent="0.3">
      <c r="A323" t="s">
        <v>1088</v>
      </c>
      <c r="B323" t="s">
        <v>629</v>
      </c>
      <c r="C323" t="s">
        <v>635</v>
      </c>
      <c r="D323">
        <v>2</v>
      </c>
      <c r="E323" t="s">
        <v>631</v>
      </c>
      <c r="F323" t="s">
        <v>630</v>
      </c>
      <c r="G323">
        <v>3340</v>
      </c>
      <c r="H323">
        <v>1710</v>
      </c>
      <c r="I323">
        <v>150</v>
      </c>
      <c r="J323">
        <v>360</v>
      </c>
      <c r="K323">
        <v>0</v>
      </c>
      <c r="L323" t="s">
        <v>636</v>
      </c>
      <c r="M323" t="s">
        <v>637</v>
      </c>
      <c r="N323">
        <f t="shared" ref="N323:N386" si="8">G323+H323</f>
        <v>5050</v>
      </c>
    </row>
    <row r="324" spans="1:14" x14ac:dyDescent="0.3">
      <c r="A324" t="s">
        <v>1090</v>
      </c>
      <c r="B324" t="s">
        <v>629</v>
      </c>
      <c r="C324" t="s">
        <v>635</v>
      </c>
      <c r="D324">
        <v>2</v>
      </c>
      <c r="E324" t="s">
        <v>640</v>
      </c>
      <c r="F324" t="s">
        <v>630</v>
      </c>
      <c r="G324">
        <v>2309</v>
      </c>
      <c r="H324">
        <v>1255</v>
      </c>
      <c r="I324">
        <v>125</v>
      </c>
      <c r="J324">
        <v>360</v>
      </c>
      <c r="K324">
        <v>0</v>
      </c>
      <c r="L324" t="s">
        <v>636</v>
      </c>
      <c r="M324" t="s">
        <v>637</v>
      </c>
      <c r="N324">
        <f t="shared" si="8"/>
        <v>3564</v>
      </c>
    </row>
    <row r="325" spans="1:14" x14ac:dyDescent="0.3">
      <c r="A325" t="s">
        <v>1092</v>
      </c>
      <c r="B325" t="s">
        <v>629</v>
      </c>
      <c r="C325" t="s">
        <v>635</v>
      </c>
      <c r="D325">
        <v>0</v>
      </c>
      <c r="E325" t="s">
        <v>631</v>
      </c>
      <c r="F325" t="s">
        <v>630</v>
      </c>
      <c r="G325">
        <v>3948</v>
      </c>
      <c r="H325">
        <v>1733</v>
      </c>
      <c r="I325">
        <v>149</v>
      </c>
      <c r="J325">
        <v>360</v>
      </c>
      <c r="K325">
        <v>0</v>
      </c>
      <c r="L325" t="s">
        <v>636</v>
      </c>
      <c r="M325" t="s">
        <v>637</v>
      </c>
      <c r="N325">
        <f t="shared" si="8"/>
        <v>5681</v>
      </c>
    </row>
    <row r="326" spans="1:14" x14ac:dyDescent="0.3">
      <c r="A326" t="s">
        <v>1093</v>
      </c>
      <c r="B326" t="s">
        <v>629</v>
      </c>
      <c r="C326" t="s">
        <v>635</v>
      </c>
      <c r="D326">
        <v>0</v>
      </c>
      <c r="E326" t="s">
        <v>631</v>
      </c>
      <c r="F326" t="s">
        <v>630</v>
      </c>
      <c r="G326">
        <v>2483</v>
      </c>
      <c r="H326">
        <v>2466</v>
      </c>
      <c r="I326">
        <v>90</v>
      </c>
      <c r="J326">
        <v>180</v>
      </c>
      <c r="K326">
        <v>0</v>
      </c>
      <c r="L326" t="s">
        <v>636</v>
      </c>
      <c r="M326" t="s">
        <v>633</v>
      </c>
      <c r="N326">
        <f t="shared" si="8"/>
        <v>4949</v>
      </c>
    </row>
    <row r="327" spans="1:14" x14ac:dyDescent="0.3">
      <c r="A327" t="s">
        <v>1094</v>
      </c>
      <c r="B327" t="s">
        <v>629</v>
      </c>
      <c r="C327" t="s">
        <v>630</v>
      </c>
      <c r="D327">
        <v>0</v>
      </c>
      <c r="E327" t="s">
        <v>631</v>
      </c>
      <c r="F327" t="s">
        <v>635</v>
      </c>
      <c r="G327">
        <v>7085</v>
      </c>
      <c r="H327">
        <v>0</v>
      </c>
      <c r="I327">
        <v>84</v>
      </c>
      <c r="J327">
        <v>360</v>
      </c>
      <c r="K327">
        <v>1</v>
      </c>
      <c r="L327" t="s">
        <v>646</v>
      </c>
      <c r="M327" t="s">
        <v>633</v>
      </c>
      <c r="N327">
        <f t="shared" si="8"/>
        <v>7085</v>
      </c>
    </row>
    <row r="328" spans="1:14" x14ac:dyDescent="0.3">
      <c r="A328" t="s">
        <v>1095</v>
      </c>
      <c r="B328" t="s">
        <v>629</v>
      </c>
      <c r="C328" t="s">
        <v>635</v>
      </c>
      <c r="D328">
        <v>2</v>
      </c>
      <c r="E328" t="s">
        <v>631</v>
      </c>
      <c r="F328" t="s">
        <v>630</v>
      </c>
      <c r="G328">
        <v>3859</v>
      </c>
      <c r="H328">
        <v>0</v>
      </c>
      <c r="I328">
        <v>96</v>
      </c>
      <c r="J328">
        <v>360</v>
      </c>
      <c r="K328">
        <v>1</v>
      </c>
      <c r="L328" t="s">
        <v>646</v>
      </c>
      <c r="M328" t="s">
        <v>633</v>
      </c>
      <c r="N328">
        <f t="shared" si="8"/>
        <v>3859</v>
      </c>
    </row>
    <row r="329" spans="1:14" x14ac:dyDescent="0.3">
      <c r="A329" t="s">
        <v>1096</v>
      </c>
      <c r="B329" t="s">
        <v>629</v>
      </c>
      <c r="C329" t="s">
        <v>635</v>
      </c>
      <c r="D329">
        <v>0</v>
      </c>
      <c r="E329" t="s">
        <v>631</v>
      </c>
      <c r="F329" t="s">
        <v>630</v>
      </c>
      <c r="G329">
        <v>4301</v>
      </c>
      <c r="H329">
        <v>0</v>
      </c>
      <c r="I329">
        <v>118</v>
      </c>
      <c r="J329">
        <v>360</v>
      </c>
      <c r="K329">
        <v>1</v>
      </c>
      <c r="L329" t="s">
        <v>632</v>
      </c>
      <c r="M329" t="s">
        <v>633</v>
      </c>
      <c r="N329">
        <f t="shared" si="8"/>
        <v>4301</v>
      </c>
    </row>
    <row r="330" spans="1:14" x14ac:dyDescent="0.3">
      <c r="A330" t="s">
        <v>1097</v>
      </c>
      <c r="B330" t="s">
        <v>629</v>
      </c>
      <c r="C330" t="s">
        <v>635</v>
      </c>
      <c r="D330">
        <v>0</v>
      </c>
      <c r="E330" t="s">
        <v>631</v>
      </c>
      <c r="F330" t="s">
        <v>630</v>
      </c>
      <c r="G330">
        <v>3708</v>
      </c>
      <c r="H330">
        <v>2569</v>
      </c>
      <c r="I330">
        <v>173</v>
      </c>
      <c r="J330">
        <v>360</v>
      </c>
      <c r="K330">
        <v>1</v>
      </c>
      <c r="L330" t="s">
        <v>632</v>
      </c>
      <c r="M330" t="s">
        <v>637</v>
      </c>
      <c r="N330">
        <f t="shared" si="8"/>
        <v>6277</v>
      </c>
    </row>
    <row r="331" spans="1:14" x14ac:dyDescent="0.3">
      <c r="A331" t="s">
        <v>1098</v>
      </c>
      <c r="B331" t="s">
        <v>629</v>
      </c>
      <c r="C331" t="s">
        <v>630</v>
      </c>
      <c r="D331">
        <v>2</v>
      </c>
      <c r="E331" t="s">
        <v>631</v>
      </c>
      <c r="F331" t="s">
        <v>630</v>
      </c>
      <c r="G331">
        <v>4354</v>
      </c>
      <c r="H331">
        <v>0</v>
      </c>
      <c r="I331">
        <v>136</v>
      </c>
      <c r="J331">
        <v>360</v>
      </c>
      <c r="K331">
        <v>1</v>
      </c>
      <c r="L331" t="s">
        <v>636</v>
      </c>
      <c r="M331" t="s">
        <v>633</v>
      </c>
      <c r="N331">
        <f t="shared" si="8"/>
        <v>4354</v>
      </c>
    </row>
    <row r="332" spans="1:14" x14ac:dyDescent="0.3">
      <c r="A332" t="s">
        <v>1099</v>
      </c>
      <c r="B332" t="s">
        <v>629</v>
      </c>
      <c r="C332" t="s">
        <v>635</v>
      </c>
      <c r="D332">
        <v>0</v>
      </c>
      <c r="E332" t="s">
        <v>631</v>
      </c>
      <c r="F332" t="s">
        <v>630</v>
      </c>
      <c r="G332">
        <v>8334</v>
      </c>
      <c r="H332">
        <v>0</v>
      </c>
      <c r="I332">
        <v>160</v>
      </c>
      <c r="J332">
        <v>360</v>
      </c>
      <c r="K332">
        <v>1</v>
      </c>
      <c r="L332" t="s">
        <v>646</v>
      </c>
      <c r="M332" t="s">
        <v>637</v>
      </c>
      <c r="N332">
        <f t="shared" si="8"/>
        <v>8334</v>
      </c>
    </row>
    <row r="333" spans="1:14" x14ac:dyDescent="0.3">
      <c r="A333" t="s">
        <v>1101</v>
      </c>
      <c r="B333" t="s">
        <v>629</v>
      </c>
      <c r="C333" t="s">
        <v>635</v>
      </c>
      <c r="D333" t="s">
        <v>645</v>
      </c>
      <c r="E333" t="s">
        <v>631</v>
      </c>
      <c r="F333" t="s">
        <v>630</v>
      </c>
      <c r="G333">
        <v>7740</v>
      </c>
      <c r="H333">
        <v>0</v>
      </c>
      <c r="I333">
        <v>128</v>
      </c>
      <c r="J333">
        <v>180</v>
      </c>
      <c r="K333">
        <v>1</v>
      </c>
      <c r="L333" t="s">
        <v>632</v>
      </c>
      <c r="M333" t="s">
        <v>633</v>
      </c>
      <c r="N333">
        <f t="shared" si="8"/>
        <v>7740</v>
      </c>
    </row>
    <row r="334" spans="1:14" x14ac:dyDescent="0.3">
      <c r="A334" t="s">
        <v>1102</v>
      </c>
      <c r="B334" t="s">
        <v>629</v>
      </c>
      <c r="C334" t="s">
        <v>635</v>
      </c>
      <c r="D334">
        <v>0</v>
      </c>
      <c r="E334" t="s">
        <v>631</v>
      </c>
      <c r="F334" t="s">
        <v>630</v>
      </c>
      <c r="G334">
        <v>3015</v>
      </c>
      <c r="H334">
        <v>2188</v>
      </c>
      <c r="I334">
        <v>153</v>
      </c>
      <c r="J334">
        <v>360</v>
      </c>
      <c r="K334">
        <v>1</v>
      </c>
      <c r="L334" t="s">
        <v>636</v>
      </c>
      <c r="M334" t="s">
        <v>633</v>
      </c>
      <c r="N334">
        <f t="shared" si="8"/>
        <v>5203</v>
      </c>
    </row>
    <row r="335" spans="1:14" x14ac:dyDescent="0.3">
      <c r="A335" t="s">
        <v>1104</v>
      </c>
      <c r="B335" t="s">
        <v>629</v>
      </c>
      <c r="C335" t="s">
        <v>630</v>
      </c>
      <c r="D335">
        <v>0</v>
      </c>
      <c r="E335" t="s">
        <v>631</v>
      </c>
      <c r="F335" t="s">
        <v>630</v>
      </c>
      <c r="G335">
        <v>4166</v>
      </c>
      <c r="H335">
        <v>0</v>
      </c>
      <c r="I335">
        <v>98</v>
      </c>
      <c r="J335">
        <v>360</v>
      </c>
      <c r="K335">
        <v>0</v>
      </c>
      <c r="L335" t="s">
        <v>646</v>
      </c>
      <c r="M335" t="s">
        <v>637</v>
      </c>
      <c r="N335">
        <f t="shared" si="8"/>
        <v>4166</v>
      </c>
    </row>
    <row r="336" spans="1:14" x14ac:dyDescent="0.3">
      <c r="A336" t="s">
        <v>1105</v>
      </c>
      <c r="B336" t="s">
        <v>629</v>
      </c>
      <c r="C336" t="s">
        <v>630</v>
      </c>
      <c r="D336">
        <v>0</v>
      </c>
      <c r="E336" t="s">
        <v>631</v>
      </c>
      <c r="F336" t="s">
        <v>630</v>
      </c>
      <c r="G336">
        <v>6000</v>
      </c>
      <c r="H336">
        <v>0</v>
      </c>
      <c r="I336">
        <v>140</v>
      </c>
      <c r="J336">
        <v>360</v>
      </c>
      <c r="K336">
        <v>1</v>
      </c>
      <c r="L336" t="s">
        <v>636</v>
      </c>
      <c r="M336" t="s">
        <v>633</v>
      </c>
      <c r="N336">
        <f t="shared" si="8"/>
        <v>6000</v>
      </c>
    </row>
    <row r="337" spans="1:14" x14ac:dyDescent="0.3">
      <c r="A337" t="s">
        <v>1106</v>
      </c>
      <c r="B337" t="s">
        <v>629</v>
      </c>
      <c r="C337" t="s">
        <v>635</v>
      </c>
      <c r="D337" t="s">
        <v>645</v>
      </c>
      <c r="E337" t="s">
        <v>640</v>
      </c>
      <c r="F337" t="s">
        <v>630</v>
      </c>
      <c r="G337">
        <v>2947</v>
      </c>
      <c r="H337">
        <v>1664</v>
      </c>
      <c r="I337">
        <v>70</v>
      </c>
      <c r="J337">
        <v>180</v>
      </c>
      <c r="K337">
        <v>0</v>
      </c>
      <c r="L337" t="s">
        <v>632</v>
      </c>
      <c r="M337" t="s">
        <v>637</v>
      </c>
      <c r="N337">
        <f t="shared" si="8"/>
        <v>4611</v>
      </c>
    </row>
    <row r="338" spans="1:14" x14ac:dyDescent="0.3">
      <c r="A338" t="s">
        <v>1109</v>
      </c>
      <c r="B338" t="s">
        <v>629</v>
      </c>
      <c r="C338" t="s">
        <v>635</v>
      </c>
      <c r="D338">
        <v>0</v>
      </c>
      <c r="E338" t="s">
        <v>631</v>
      </c>
      <c r="F338" t="s">
        <v>630</v>
      </c>
      <c r="G338">
        <v>4333</v>
      </c>
      <c r="H338">
        <v>2451</v>
      </c>
      <c r="I338">
        <v>110</v>
      </c>
      <c r="J338">
        <v>360</v>
      </c>
      <c r="K338">
        <v>1</v>
      </c>
      <c r="L338" t="s">
        <v>632</v>
      </c>
      <c r="M338" t="s">
        <v>637</v>
      </c>
      <c r="N338">
        <f t="shared" si="8"/>
        <v>6784</v>
      </c>
    </row>
    <row r="339" spans="1:14" x14ac:dyDescent="0.3">
      <c r="A339" t="s">
        <v>1110</v>
      </c>
      <c r="B339" t="s">
        <v>629</v>
      </c>
      <c r="C339" t="s">
        <v>635</v>
      </c>
      <c r="D339">
        <v>1</v>
      </c>
      <c r="E339" t="s">
        <v>631</v>
      </c>
      <c r="F339" t="s">
        <v>635</v>
      </c>
      <c r="G339">
        <v>3450</v>
      </c>
      <c r="H339">
        <v>2079</v>
      </c>
      <c r="I339">
        <v>162</v>
      </c>
      <c r="J339">
        <v>360</v>
      </c>
      <c r="K339">
        <v>1</v>
      </c>
      <c r="L339" t="s">
        <v>646</v>
      </c>
      <c r="M339" t="s">
        <v>633</v>
      </c>
      <c r="N339">
        <f t="shared" si="8"/>
        <v>5529</v>
      </c>
    </row>
    <row r="340" spans="1:14" x14ac:dyDescent="0.3">
      <c r="A340" t="s">
        <v>1111</v>
      </c>
      <c r="B340" t="s">
        <v>629</v>
      </c>
      <c r="C340" t="s">
        <v>635</v>
      </c>
      <c r="D340">
        <v>1</v>
      </c>
      <c r="E340" t="s">
        <v>640</v>
      </c>
      <c r="F340" t="s">
        <v>630</v>
      </c>
      <c r="G340">
        <v>2653</v>
      </c>
      <c r="H340">
        <v>1500</v>
      </c>
      <c r="I340">
        <v>113</v>
      </c>
      <c r="J340">
        <v>180</v>
      </c>
      <c r="K340">
        <v>0</v>
      </c>
      <c r="L340" t="s">
        <v>636</v>
      </c>
      <c r="M340" t="s">
        <v>637</v>
      </c>
      <c r="N340">
        <f t="shared" si="8"/>
        <v>4153</v>
      </c>
    </row>
    <row r="341" spans="1:14" x14ac:dyDescent="0.3">
      <c r="A341" t="s">
        <v>1112</v>
      </c>
      <c r="B341" t="s">
        <v>629</v>
      </c>
      <c r="C341" t="s">
        <v>635</v>
      </c>
      <c r="D341" t="s">
        <v>645</v>
      </c>
      <c r="E341" t="s">
        <v>631</v>
      </c>
      <c r="F341" t="s">
        <v>630</v>
      </c>
      <c r="G341">
        <v>4691</v>
      </c>
      <c r="H341">
        <v>0</v>
      </c>
      <c r="I341">
        <v>100</v>
      </c>
      <c r="J341">
        <v>360</v>
      </c>
      <c r="K341">
        <v>1</v>
      </c>
      <c r="L341" t="s">
        <v>646</v>
      </c>
      <c r="M341" t="s">
        <v>633</v>
      </c>
      <c r="N341">
        <f t="shared" si="8"/>
        <v>4691</v>
      </c>
    </row>
    <row r="342" spans="1:14" x14ac:dyDescent="0.3">
      <c r="A342" t="s">
        <v>1114</v>
      </c>
      <c r="B342" t="s">
        <v>629</v>
      </c>
      <c r="C342" t="s">
        <v>630</v>
      </c>
      <c r="D342">
        <v>2</v>
      </c>
      <c r="E342" t="s">
        <v>631</v>
      </c>
      <c r="F342" t="s">
        <v>630</v>
      </c>
      <c r="G342">
        <v>5532</v>
      </c>
      <c r="H342">
        <v>4648</v>
      </c>
      <c r="I342">
        <v>162</v>
      </c>
      <c r="J342">
        <v>360</v>
      </c>
      <c r="K342">
        <v>1</v>
      </c>
      <c r="L342" t="s">
        <v>636</v>
      </c>
      <c r="M342" t="s">
        <v>633</v>
      </c>
      <c r="N342">
        <f t="shared" si="8"/>
        <v>10180</v>
      </c>
    </row>
    <row r="343" spans="1:14" x14ac:dyDescent="0.3">
      <c r="A343" t="s">
        <v>1115</v>
      </c>
      <c r="B343" t="s">
        <v>629</v>
      </c>
      <c r="C343" t="s">
        <v>635</v>
      </c>
      <c r="D343">
        <v>2</v>
      </c>
      <c r="E343" t="s">
        <v>631</v>
      </c>
      <c r="F343" t="s">
        <v>635</v>
      </c>
      <c r="G343">
        <v>16525</v>
      </c>
      <c r="H343">
        <v>1014</v>
      </c>
      <c r="I343">
        <v>150</v>
      </c>
      <c r="J343">
        <v>360</v>
      </c>
      <c r="K343">
        <v>1</v>
      </c>
      <c r="L343" t="s">
        <v>636</v>
      </c>
      <c r="M343" t="s">
        <v>633</v>
      </c>
      <c r="N343">
        <f t="shared" si="8"/>
        <v>17539</v>
      </c>
    </row>
    <row r="344" spans="1:14" x14ac:dyDescent="0.3">
      <c r="A344" t="s">
        <v>1116</v>
      </c>
      <c r="B344" t="s">
        <v>629</v>
      </c>
      <c r="C344" t="s">
        <v>635</v>
      </c>
      <c r="D344">
        <v>2</v>
      </c>
      <c r="E344" t="s">
        <v>631</v>
      </c>
      <c r="F344" t="s">
        <v>630</v>
      </c>
      <c r="G344">
        <v>6700</v>
      </c>
      <c r="H344">
        <v>1750</v>
      </c>
      <c r="I344">
        <v>230</v>
      </c>
      <c r="J344">
        <v>300</v>
      </c>
      <c r="K344">
        <v>1</v>
      </c>
      <c r="L344" t="s">
        <v>646</v>
      </c>
      <c r="M344" t="s">
        <v>633</v>
      </c>
      <c r="N344">
        <f t="shared" si="8"/>
        <v>8450</v>
      </c>
    </row>
    <row r="345" spans="1:14" x14ac:dyDescent="0.3">
      <c r="A345" t="s">
        <v>1118</v>
      </c>
      <c r="B345" t="s">
        <v>629</v>
      </c>
      <c r="C345" t="s">
        <v>635</v>
      </c>
      <c r="D345">
        <v>1</v>
      </c>
      <c r="E345" t="s">
        <v>631</v>
      </c>
      <c r="F345" t="s">
        <v>635</v>
      </c>
      <c r="G345">
        <v>16667</v>
      </c>
      <c r="H345">
        <v>2250</v>
      </c>
      <c r="I345">
        <v>86</v>
      </c>
      <c r="J345">
        <v>360</v>
      </c>
      <c r="K345">
        <v>1</v>
      </c>
      <c r="L345" t="s">
        <v>646</v>
      </c>
      <c r="M345" t="s">
        <v>633</v>
      </c>
      <c r="N345">
        <f t="shared" si="8"/>
        <v>18917</v>
      </c>
    </row>
    <row r="346" spans="1:14" x14ac:dyDescent="0.3">
      <c r="A346" t="s">
        <v>1120</v>
      </c>
      <c r="B346" t="s">
        <v>657</v>
      </c>
      <c r="C346" t="s">
        <v>630</v>
      </c>
      <c r="D346">
        <v>0</v>
      </c>
      <c r="E346" t="s">
        <v>640</v>
      </c>
      <c r="F346" t="s">
        <v>630</v>
      </c>
      <c r="G346">
        <v>4350</v>
      </c>
      <c r="H346">
        <v>0</v>
      </c>
      <c r="I346">
        <v>154</v>
      </c>
      <c r="J346">
        <v>360</v>
      </c>
      <c r="K346">
        <v>1</v>
      </c>
      <c r="L346" t="s">
        <v>636</v>
      </c>
      <c r="M346" t="s">
        <v>633</v>
      </c>
      <c r="N346">
        <f t="shared" si="8"/>
        <v>4350</v>
      </c>
    </row>
    <row r="347" spans="1:14" x14ac:dyDescent="0.3">
      <c r="A347" t="s">
        <v>1121</v>
      </c>
      <c r="B347" t="s">
        <v>629</v>
      </c>
      <c r="C347" t="s">
        <v>635</v>
      </c>
      <c r="D347" t="s">
        <v>645</v>
      </c>
      <c r="E347" t="s">
        <v>640</v>
      </c>
      <c r="F347" t="s">
        <v>630</v>
      </c>
      <c r="G347">
        <v>3095</v>
      </c>
      <c r="H347">
        <v>0</v>
      </c>
      <c r="I347">
        <v>113</v>
      </c>
      <c r="J347">
        <v>360</v>
      </c>
      <c r="K347">
        <v>1</v>
      </c>
      <c r="L347" t="s">
        <v>636</v>
      </c>
      <c r="M347" t="s">
        <v>633</v>
      </c>
      <c r="N347">
        <f t="shared" si="8"/>
        <v>3095</v>
      </c>
    </row>
    <row r="348" spans="1:14" x14ac:dyDescent="0.3">
      <c r="A348" t="s">
        <v>1122</v>
      </c>
      <c r="B348" t="s">
        <v>629</v>
      </c>
      <c r="C348" t="s">
        <v>635</v>
      </c>
      <c r="D348">
        <v>0</v>
      </c>
      <c r="E348" t="s">
        <v>631</v>
      </c>
      <c r="F348" t="s">
        <v>630</v>
      </c>
      <c r="G348">
        <v>2083</v>
      </c>
      <c r="H348">
        <v>3150</v>
      </c>
      <c r="I348">
        <v>128</v>
      </c>
      <c r="J348">
        <v>360</v>
      </c>
      <c r="K348">
        <v>1</v>
      </c>
      <c r="L348" t="s">
        <v>646</v>
      </c>
      <c r="M348" t="s">
        <v>633</v>
      </c>
      <c r="N348">
        <f t="shared" si="8"/>
        <v>5233</v>
      </c>
    </row>
    <row r="349" spans="1:14" x14ac:dyDescent="0.3">
      <c r="A349" t="s">
        <v>1123</v>
      </c>
      <c r="B349" t="s">
        <v>629</v>
      </c>
      <c r="C349" t="s">
        <v>635</v>
      </c>
      <c r="D349">
        <v>0</v>
      </c>
      <c r="E349" t="s">
        <v>631</v>
      </c>
      <c r="F349" t="s">
        <v>630</v>
      </c>
      <c r="G349">
        <v>10833</v>
      </c>
      <c r="H349">
        <v>0</v>
      </c>
      <c r="I349">
        <v>234</v>
      </c>
      <c r="J349">
        <v>360</v>
      </c>
      <c r="K349">
        <v>1</v>
      </c>
      <c r="L349" t="s">
        <v>646</v>
      </c>
      <c r="M349" t="s">
        <v>633</v>
      </c>
      <c r="N349">
        <f t="shared" si="8"/>
        <v>10833</v>
      </c>
    </row>
    <row r="350" spans="1:14" x14ac:dyDescent="0.3">
      <c r="A350" t="s">
        <v>1124</v>
      </c>
      <c r="B350" t="s">
        <v>629</v>
      </c>
      <c r="C350" t="s">
        <v>635</v>
      </c>
      <c r="D350">
        <v>2</v>
      </c>
      <c r="E350" t="s">
        <v>631</v>
      </c>
      <c r="F350" t="s">
        <v>630</v>
      </c>
      <c r="G350">
        <v>8333</v>
      </c>
      <c r="H350">
        <v>0</v>
      </c>
      <c r="I350">
        <v>246</v>
      </c>
      <c r="J350">
        <v>360</v>
      </c>
      <c r="K350">
        <v>1</v>
      </c>
      <c r="L350" t="s">
        <v>646</v>
      </c>
      <c r="M350" t="s">
        <v>633</v>
      </c>
      <c r="N350">
        <f t="shared" si="8"/>
        <v>8333</v>
      </c>
    </row>
    <row r="351" spans="1:14" x14ac:dyDescent="0.3">
      <c r="A351" t="s">
        <v>1125</v>
      </c>
      <c r="B351" t="s">
        <v>629</v>
      </c>
      <c r="C351" t="s">
        <v>635</v>
      </c>
      <c r="D351">
        <v>1</v>
      </c>
      <c r="E351" t="s">
        <v>640</v>
      </c>
      <c r="F351" t="s">
        <v>630</v>
      </c>
      <c r="G351">
        <v>1958</v>
      </c>
      <c r="H351">
        <v>2436</v>
      </c>
      <c r="I351">
        <v>131</v>
      </c>
      <c r="J351">
        <v>360</v>
      </c>
      <c r="K351">
        <v>1</v>
      </c>
      <c r="L351" t="s">
        <v>636</v>
      </c>
      <c r="M351" t="s">
        <v>633</v>
      </c>
      <c r="N351">
        <f t="shared" si="8"/>
        <v>4394</v>
      </c>
    </row>
    <row r="352" spans="1:14" x14ac:dyDescent="0.3">
      <c r="A352" t="s">
        <v>1126</v>
      </c>
      <c r="B352" t="s">
        <v>629</v>
      </c>
      <c r="C352" t="s">
        <v>630</v>
      </c>
      <c r="D352">
        <v>2</v>
      </c>
      <c r="E352" t="s">
        <v>631</v>
      </c>
      <c r="F352" t="s">
        <v>630</v>
      </c>
      <c r="G352">
        <v>3547</v>
      </c>
      <c r="H352">
        <v>0</v>
      </c>
      <c r="I352">
        <v>80</v>
      </c>
      <c r="J352">
        <v>360</v>
      </c>
      <c r="K352">
        <v>0</v>
      </c>
      <c r="L352" t="s">
        <v>636</v>
      </c>
      <c r="M352" t="s">
        <v>637</v>
      </c>
      <c r="N352">
        <f t="shared" si="8"/>
        <v>3547</v>
      </c>
    </row>
    <row r="353" spans="1:14" x14ac:dyDescent="0.3">
      <c r="A353" t="s">
        <v>1128</v>
      </c>
      <c r="B353" t="s">
        <v>629</v>
      </c>
      <c r="C353" t="s">
        <v>635</v>
      </c>
      <c r="D353">
        <v>2</v>
      </c>
      <c r="E353" t="s">
        <v>631</v>
      </c>
      <c r="F353" t="s">
        <v>635</v>
      </c>
      <c r="G353">
        <v>4583</v>
      </c>
      <c r="H353">
        <v>2083</v>
      </c>
      <c r="I353">
        <v>160</v>
      </c>
      <c r="J353">
        <v>360</v>
      </c>
      <c r="K353">
        <v>1</v>
      </c>
      <c r="L353" t="s">
        <v>646</v>
      </c>
      <c r="M353" t="s">
        <v>633</v>
      </c>
      <c r="N353">
        <f t="shared" si="8"/>
        <v>6666</v>
      </c>
    </row>
    <row r="354" spans="1:14" x14ac:dyDescent="0.3">
      <c r="A354" t="s">
        <v>1129</v>
      </c>
      <c r="B354" t="s">
        <v>629</v>
      </c>
      <c r="C354" t="s">
        <v>630</v>
      </c>
      <c r="D354">
        <v>0</v>
      </c>
      <c r="E354" t="s">
        <v>631</v>
      </c>
      <c r="F354" t="s">
        <v>630</v>
      </c>
      <c r="G354">
        <v>2435</v>
      </c>
      <c r="H354">
        <v>0</v>
      </c>
      <c r="I354">
        <v>75</v>
      </c>
      <c r="J354">
        <v>360</v>
      </c>
      <c r="K354">
        <v>1</v>
      </c>
      <c r="L354" t="s">
        <v>632</v>
      </c>
      <c r="M354" t="s">
        <v>637</v>
      </c>
      <c r="N354">
        <f t="shared" si="8"/>
        <v>2435</v>
      </c>
    </row>
    <row r="355" spans="1:14" x14ac:dyDescent="0.3">
      <c r="A355" t="s">
        <v>1132</v>
      </c>
      <c r="B355" t="s">
        <v>629</v>
      </c>
      <c r="C355" t="s">
        <v>630</v>
      </c>
      <c r="D355">
        <v>0</v>
      </c>
      <c r="E355" t="s">
        <v>640</v>
      </c>
      <c r="F355" t="s">
        <v>630</v>
      </c>
      <c r="G355">
        <v>3691</v>
      </c>
      <c r="H355">
        <v>0</v>
      </c>
      <c r="I355">
        <v>110</v>
      </c>
      <c r="J355">
        <v>360</v>
      </c>
      <c r="K355">
        <v>1</v>
      </c>
      <c r="L355" t="s">
        <v>636</v>
      </c>
      <c r="M355" t="s">
        <v>633</v>
      </c>
      <c r="N355">
        <f t="shared" si="8"/>
        <v>3691</v>
      </c>
    </row>
    <row r="356" spans="1:14" x14ac:dyDescent="0.3">
      <c r="A356" t="s">
        <v>1133</v>
      </c>
      <c r="B356" t="s">
        <v>657</v>
      </c>
      <c r="C356" t="s">
        <v>630</v>
      </c>
      <c r="D356">
        <v>0</v>
      </c>
      <c r="E356" t="s">
        <v>640</v>
      </c>
      <c r="F356" t="s">
        <v>635</v>
      </c>
      <c r="G356">
        <v>17263</v>
      </c>
      <c r="H356">
        <v>0</v>
      </c>
      <c r="I356">
        <v>225</v>
      </c>
      <c r="J356">
        <v>360</v>
      </c>
      <c r="K356">
        <v>1</v>
      </c>
      <c r="L356" t="s">
        <v>646</v>
      </c>
      <c r="M356" t="s">
        <v>633</v>
      </c>
      <c r="N356">
        <f t="shared" si="8"/>
        <v>17263</v>
      </c>
    </row>
    <row r="357" spans="1:14" x14ac:dyDescent="0.3">
      <c r="A357" t="s">
        <v>1134</v>
      </c>
      <c r="B357" t="s">
        <v>629</v>
      </c>
      <c r="C357" t="s">
        <v>635</v>
      </c>
      <c r="D357">
        <v>0</v>
      </c>
      <c r="E357" t="s">
        <v>631</v>
      </c>
      <c r="F357" t="s">
        <v>630</v>
      </c>
      <c r="G357">
        <v>3597</v>
      </c>
      <c r="H357">
        <v>2157</v>
      </c>
      <c r="I357">
        <v>119</v>
      </c>
      <c r="J357">
        <v>360</v>
      </c>
      <c r="K357">
        <v>0</v>
      </c>
      <c r="L357" t="s">
        <v>636</v>
      </c>
      <c r="M357" t="s">
        <v>637</v>
      </c>
      <c r="N357">
        <f t="shared" si="8"/>
        <v>5754</v>
      </c>
    </row>
    <row r="358" spans="1:14" x14ac:dyDescent="0.3">
      <c r="A358" t="s">
        <v>1135</v>
      </c>
      <c r="B358" t="s">
        <v>657</v>
      </c>
      <c r="C358" t="s">
        <v>635</v>
      </c>
      <c r="D358">
        <v>1</v>
      </c>
      <c r="E358" t="s">
        <v>631</v>
      </c>
      <c r="F358" t="s">
        <v>630</v>
      </c>
      <c r="G358">
        <v>3326</v>
      </c>
      <c r="H358">
        <v>913</v>
      </c>
      <c r="I358">
        <v>105</v>
      </c>
      <c r="J358">
        <v>84</v>
      </c>
      <c r="K358">
        <v>1</v>
      </c>
      <c r="L358" t="s">
        <v>646</v>
      </c>
      <c r="M358" t="s">
        <v>633</v>
      </c>
      <c r="N358">
        <f t="shared" si="8"/>
        <v>4239</v>
      </c>
    </row>
    <row r="359" spans="1:14" x14ac:dyDescent="0.3">
      <c r="A359" t="s">
        <v>1136</v>
      </c>
      <c r="B359" t="s">
        <v>629</v>
      </c>
      <c r="C359" t="s">
        <v>635</v>
      </c>
      <c r="D359">
        <v>0</v>
      </c>
      <c r="E359" t="s">
        <v>640</v>
      </c>
      <c r="F359" t="s">
        <v>630</v>
      </c>
      <c r="G359">
        <v>2600</v>
      </c>
      <c r="H359">
        <v>1700</v>
      </c>
      <c r="I359">
        <v>107</v>
      </c>
      <c r="J359">
        <v>360</v>
      </c>
      <c r="K359">
        <v>1</v>
      </c>
      <c r="L359" t="s">
        <v>636</v>
      </c>
      <c r="M359" t="s">
        <v>633</v>
      </c>
      <c r="N359">
        <f t="shared" si="8"/>
        <v>4300</v>
      </c>
    </row>
    <row r="360" spans="1:14" x14ac:dyDescent="0.3">
      <c r="A360" t="s">
        <v>1138</v>
      </c>
      <c r="B360" t="s">
        <v>629</v>
      </c>
      <c r="C360" t="s">
        <v>635</v>
      </c>
      <c r="D360">
        <v>1</v>
      </c>
      <c r="E360" t="s">
        <v>631</v>
      </c>
      <c r="F360" t="s">
        <v>635</v>
      </c>
      <c r="G360">
        <v>2895</v>
      </c>
      <c r="H360">
        <v>0</v>
      </c>
      <c r="I360">
        <v>95</v>
      </c>
      <c r="J360">
        <v>360</v>
      </c>
      <c r="K360">
        <v>1</v>
      </c>
      <c r="L360" t="s">
        <v>646</v>
      </c>
      <c r="M360" t="s">
        <v>633</v>
      </c>
      <c r="N360">
        <f t="shared" si="8"/>
        <v>2895</v>
      </c>
    </row>
    <row r="361" spans="1:14" x14ac:dyDescent="0.3">
      <c r="A361" t="s">
        <v>1139</v>
      </c>
      <c r="B361" t="s">
        <v>629</v>
      </c>
      <c r="C361" t="s">
        <v>630</v>
      </c>
      <c r="D361">
        <v>0</v>
      </c>
      <c r="E361" t="s">
        <v>631</v>
      </c>
      <c r="F361" t="s">
        <v>630</v>
      </c>
      <c r="G361">
        <v>6283</v>
      </c>
      <c r="H361">
        <v>4416</v>
      </c>
      <c r="I361">
        <v>209</v>
      </c>
      <c r="J361">
        <v>360</v>
      </c>
      <c r="K361">
        <v>0</v>
      </c>
      <c r="L361" t="s">
        <v>636</v>
      </c>
      <c r="M361" t="s">
        <v>637</v>
      </c>
      <c r="N361">
        <f t="shared" si="8"/>
        <v>10699</v>
      </c>
    </row>
    <row r="362" spans="1:14" x14ac:dyDescent="0.3">
      <c r="A362" t="s">
        <v>1140</v>
      </c>
      <c r="B362" t="s">
        <v>657</v>
      </c>
      <c r="C362" t="s">
        <v>630</v>
      </c>
      <c r="D362">
        <v>0</v>
      </c>
      <c r="E362" t="s">
        <v>631</v>
      </c>
      <c r="F362" t="s">
        <v>630</v>
      </c>
      <c r="G362">
        <v>645</v>
      </c>
      <c r="H362">
        <v>3683</v>
      </c>
      <c r="I362">
        <v>113</v>
      </c>
      <c r="J362">
        <v>480</v>
      </c>
      <c r="K362">
        <v>1</v>
      </c>
      <c r="L362" t="s">
        <v>636</v>
      </c>
      <c r="M362" t="s">
        <v>633</v>
      </c>
      <c r="N362">
        <f t="shared" si="8"/>
        <v>4328</v>
      </c>
    </row>
    <row r="363" spans="1:14" x14ac:dyDescent="0.3">
      <c r="A363" t="s">
        <v>1141</v>
      </c>
      <c r="B363" t="s">
        <v>657</v>
      </c>
      <c r="C363" t="s">
        <v>630</v>
      </c>
      <c r="D363">
        <v>0</v>
      </c>
      <c r="E363" t="s">
        <v>631</v>
      </c>
      <c r="F363" t="s">
        <v>630</v>
      </c>
      <c r="G363">
        <v>3159</v>
      </c>
      <c r="H363">
        <v>0</v>
      </c>
      <c r="I363">
        <v>100</v>
      </c>
      <c r="J363">
        <v>360</v>
      </c>
      <c r="K363">
        <v>1</v>
      </c>
      <c r="L363" t="s">
        <v>646</v>
      </c>
      <c r="M363" t="s">
        <v>633</v>
      </c>
      <c r="N363">
        <f t="shared" si="8"/>
        <v>3159</v>
      </c>
    </row>
    <row r="364" spans="1:14" x14ac:dyDescent="0.3">
      <c r="A364" t="s">
        <v>1142</v>
      </c>
      <c r="B364" t="s">
        <v>629</v>
      </c>
      <c r="C364" t="s">
        <v>635</v>
      </c>
      <c r="D364">
        <v>2</v>
      </c>
      <c r="E364" t="s">
        <v>631</v>
      </c>
      <c r="F364" t="s">
        <v>630</v>
      </c>
      <c r="G364">
        <v>4865</v>
      </c>
      <c r="H364">
        <v>5624</v>
      </c>
      <c r="I364">
        <v>208</v>
      </c>
      <c r="J364">
        <v>360</v>
      </c>
      <c r="K364">
        <v>1</v>
      </c>
      <c r="L364" t="s">
        <v>646</v>
      </c>
      <c r="M364" t="s">
        <v>633</v>
      </c>
      <c r="N364">
        <f t="shared" si="8"/>
        <v>10489</v>
      </c>
    </row>
    <row r="365" spans="1:14" x14ac:dyDescent="0.3">
      <c r="A365" t="s">
        <v>1144</v>
      </c>
      <c r="B365" t="s">
        <v>629</v>
      </c>
      <c r="C365" t="s">
        <v>635</v>
      </c>
      <c r="D365">
        <v>0</v>
      </c>
      <c r="E365" t="s">
        <v>640</v>
      </c>
      <c r="F365" t="s">
        <v>630</v>
      </c>
      <c r="G365">
        <v>3814</v>
      </c>
      <c r="H365">
        <v>1483</v>
      </c>
      <c r="I365">
        <v>124</v>
      </c>
      <c r="J365">
        <v>300</v>
      </c>
      <c r="K365">
        <v>1</v>
      </c>
      <c r="L365" t="s">
        <v>646</v>
      </c>
      <c r="M365" t="s">
        <v>633</v>
      </c>
      <c r="N365">
        <f t="shared" si="8"/>
        <v>5297</v>
      </c>
    </row>
    <row r="366" spans="1:14" x14ac:dyDescent="0.3">
      <c r="A366" t="s">
        <v>1145</v>
      </c>
      <c r="B366" t="s">
        <v>629</v>
      </c>
      <c r="C366" t="s">
        <v>635</v>
      </c>
      <c r="D366">
        <v>2</v>
      </c>
      <c r="E366" t="s">
        <v>631</v>
      </c>
      <c r="F366" t="s">
        <v>630</v>
      </c>
      <c r="G366">
        <v>3510</v>
      </c>
      <c r="H366">
        <v>4416</v>
      </c>
      <c r="I366">
        <v>243</v>
      </c>
      <c r="J366">
        <v>360</v>
      </c>
      <c r="K366">
        <v>1</v>
      </c>
      <c r="L366" t="s">
        <v>636</v>
      </c>
      <c r="M366" t="s">
        <v>633</v>
      </c>
      <c r="N366">
        <f t="shared" si="8"/>
        <v>7926</v>
      </c>
    </row>
    <row r="367" spans="1:14" x14ac:dyDescent="0.3">
      <c r="A367" t="s">
        <v>1148</v>
      </c>
      <c r="B367" t="s">
        <v>629</v>
      </c>
      <c r="C367" t="s">
        <v>635</v>
      </c>
      <c r="D367">
        <v>0</v>
      </c>
      <c r="E367" t="s">
        <v>631</v>
      </c>
      <c r="F367" t="s">
        <v>635</v>
      </c>
      <c r="G367">
        <v>2479</v>
      </c>
      <c r="H367">
        <v>3013</v>
      </c>
      <c r="I367">
        <v>188</v>
      </c>
      <c r="J367">
        <v>360</v>
      </c>
      <c r="K367">
        <v>1</v>
      </c>
      <c r="L367" t="s">
        <v>632</v>
      </c>
      <c r="M367" t="s">
        <v>633</v>
      </c>
      <c r="N367">
        <f t="shared" si="8"/>
        <v>5492</v>
      </c>
    </row>
    <row r="368" spans="1:14" x14ac:dyDescent="0.3">
      <c r="A368" t="s">
        <v>1149</v>
      </c>
      <c r="B368" t="s">
        <v>657</v>
      </c>
      <c r="C368" t="s">
        <v>630</v>
      </c>
      <c r="D368">
        <v>1</v>
      </c>
      <c r="E368" t="s">
        <v>631</v>
      </c>
      <c r="F368" t="s">
        <v>630</v>
      </c>
      <c r="G368">
        <v>13262</v>
      </c>
      <c r="H368">
        <v>0</v>
      </c>
      <c r="I368">
        <v>40</v>
      </c>
      <c r="J368">
        <v>360</v>
      </c>
      <c r="K368">
        <v>1</v>
      </c>
      <c r="L368" t="s">
        <v>632</v>
      </c>
      <c r="M368" t="s">
        <v>633</v>
      </c>
      <c r="N368">
        <f t="shared" si="8"/>
        <v>13262</v>
      </c>
    </row>
    <row r="369" spans="1:14" x14ac:dyDescent="0.3">
      <c r="A369" t="s">
        <v>1150</v>
      </c>
      <c r="B369" t="s">
        <v>629</v>
      </c>
      <c r="C369" t="s">
        <v>630</v>
      </c>
      <c r="D369">
        <v>0</v>
      </c>
      <c r="E369" t="s">
        <v>640</v>
      </c>
      <c r="F369" t="s">
        <v>630</v>
      </c>
      <c r="G369">
        <v>3598</v>
      </c>
      <c r="H369">
        <v>1287</v>
      </c>
      <c r="I369">
        <v>100</v>
      </c>
      <c r="J369">
        <v>360</v>
      </c>
      <c r="K369">
        <v>1</v>
      </c>
      <c r="L369" t="s">
        <v>636</v>
      </c>
      <c r="M369" t="s">
        <v>637</v>
      </c>
      <c r="N369">
        <f t="shared" si="8"/>
        <v>4885</v>
      </c>
    </row>
    <row r="370" spans="1:14" x14ac:dyDescent="0.3">
      <c r="A370" t="s">
        <v>1151</v>
      </c>
      <c r="B370" t="s">
        <v>629</v>
      </c>
      <c r="C370" t="s">
        <v>635</v>
      </c>
      <c r="D370">
        <v>1</v>
      </c>
      <c r="E370" t="s">
        <v>631</v>
      </c>
      <c r="F370" t="s">
        <v>630</v>
      </c>
      <c r="G370">
        <v>6065</v>
      </c>
      <c r="H370">
        <v>2004</v>
      </c>
      <c r="I370">
        <v>250</v>
      </c>
      <c r="J370">
        <v>360</v>
      </c>
      <c r="K370">
        <v>1</v>
      </c>
      <c r="L370" t="s">
        <v>646</v>
      </c>
      <c r="M370" t="s">
        <v>633</v>
      </c>
      <c r="N370">
        <f t="shared" si="8"/>
        <v>8069</v>
      </c>
    </row>
    <row r="371" spans="1:14" x14ac:dyDescent="0.3">
      <c r="A371" t="s">
        <v>1152</v>
      </c>
      <c r="B371" t="s">
        <v>629</v>
      </c>
      <c r="C371" t="s">
        <v>635</v>
      </c>
      <c r="D371">
        <v>2</v>
      </c>
      <c r="E371" t="s">
        <v>631</v>
      </c>
      <c r="F371" t="s">
        <v>630</v>
      </c>
      <c r="G371">
        <v>3283</v>
      </c>
      <c r="H371">
        <v>2035</v>
      </c>
      <c r="I371">
        <v>148</v>
      </c>
      <c r="J371">
        <v>360</v>
      </c>
      <c r="K371">
        <v>1</v>
      </c>
      <c r="L371" t="s">
        <v>632</v>
      </c>
      <c r="M371" t="s">
        <v>633</v>
      </c>
      <c r="N371">
        <f t="shared" si="8"/>
        <v>5318</v>
      </c>
    </row>
    <row r="372" spans="1:14" x14ac:dyDescent="0.3">
      <c r="A372" t="s">
        <v>1153</v>
      </c>
      <c r="B372" t="s">
        <v>629</v>
      </c>
      <c r="C372" t="s">
        <v>635</v>
      </c>
      <c r="D372">
        <v>0</v>
      </c>
      <c r="E372" t="s">
        <v>631</v>
      </c>
      <c r="F372" t="s">
        <v>630</v>
      </c>
      <c r="G372">
        <v>2130</v>
      </c>
      <c r="H372">
        <v>6666</v>
      </c>
      <c r="I372">
        <v>70</v>
      </c>
      <c r="J372">
        <v>180</v>
      </c>
      <c r="K372">
        <v>1</v>
      </c>
      <c r="L372" t="s">
        <v>646</v>
      </c>
      <c r="M372" t="s">
        <v>637</v>
      </c>
      <c r="N372">
        <f t="shared" si="8"/>
        <v>8796</v>
      </c>
    </row>
    <row r="373" spans="1:14" x14ac:dyDescent="0.3">
      <c r="A373" t="s">
        <v>1155</v>
      </c>
      <c r="B373" t="s">
        <v>629</v>
      </c>
      <c r="C373" t="s">
        <v>635</v>
      </c>
      <c r="D373" t="s">
        <v>645</v>
      </c>
      <c r="E373" t="s">
        <v>631</v>
      </c>
      <c r="F373" t="s">
        <v>630</v>
      </c>
      <c r="G373">
        <v>3466</v>
      </c>
      <c r="H373">
        <v>3428</v>
      </c>
      <c r="I373">
        <v>150</v>
      </c>
      <c r="J373">
        <v>360</v>
      </c>
      <c r="K373">
        <v>1</v>
      </c>
      <c r="L373" t="s">
        <v>636</v>
      </c>
      <c r="M373" t="s">
        <v>633</v>
      </c>
      <c r="N373">
        <f t="shared" si="8"/>
        <v>6894</v>
      </c>
    </row>
    <row r="374" spans="1:14" x14ac:dyDescent="0.3">
      <c r="A374" t="s">
        <v>1156</v>
      </c>
      <c r="B374" t="s">
        <v>657</v>
      </c>
      <c r="C374" t="s">
        <v>635</v>
      </c>
      <c r="D374">
        <v>2</v>
      </c>
      <c r="E374" t="s">
        <v>631</v>
      </c>
      <c r="F374" t="s">
        <v>630</v>
      </c>
      <c r="G374">
        <v>2031</v>
      </c>
      <c r="H374">
        <v>1632</v>
      </c>
      <c r="I374">
        <v>113</v>
      </c>
      <c r="J374">
        <v>480</v>
      </c>
      <c r="K374">
        <v>1</v>
      </c>
      <c r="L374" t="s">
        <v>646</v>
      </c>
      <c r="M374" t="s">
        <v>633</v>
      </c>
      <c r="N374">
        <f t="shared" si="8"/>
        <v>3663</v>
      </c>
    </row>
    <row r="375" spans="1:14" x14ac:dyDescent="0.3">
      <c r="A375" t="s">
        <v>1158</v>
      </c>
      <c r="B375" t="s">
        <v>629</v>
      </c>
      <c r="C375" t="s">
        <v>630</v>
      </c>
      <c r="D375">
        <v>0</v>
      </c>
      <c r="E375" t="s">
        <v>631</v>
      </c>
      <c r="F375" t="s">
        <v>630</v>
      </c>
      <c r="G375">
        <v>4683</v>
      </c>
      <c r="H375">
        <v>1915</v>
      </c>
      <c r="I375">
        <v>185</v>
      </c>
      <c r="J375">
        <v>360</v>
      </c>
      <c r="K375">
        <v>1</v>
      </c>
      <c r="L375" t="s">
        <v>646</v>
      </c>
      <c r="M375" t="s">
        <v>637</v>
      </c>
      <c r="N375">
        <f t="shared" si="8"/>
        <v>6598</v>
      </c>
    </row>
    <row r="376" spans="1:14" x14ac:dyDescent="0.3">
      <c r="A376" t="s">
        <v>1159</v>
      </c>
      <c r="B376" t="s">
        <v>657</v>
      </c>
      <c r="C376" t="s">
        <v>630</v>
      </c>
      <c r="D376">
        <v>0</v>
      </c>
      <c r="E376" t="s">
        <v>640</v>
      </c>
      <c r="F376" t="s">
        <v>630</v>
      </c>
      <c r="G376">
        <v>3400</v>
      </c>
      <c r="H376">
        <v>0</v>
      </c>
      <c r="I376">
        <v>95</v>
      </c>
      <c r="J376">
        <v>360</v>
      </c>
      <c r="K376">
        <v>1</v>
      </c>
      <c r="L376" t="s">
        <v>636</v>
      </c>
      <c r="M376" t="s">
        <v>637</v>
      </c>
      <c r="N376">
        <f t="shared" si="8"/>
        <v>3400</v>
      </c>
    </row>
    <row r="377" spans="1:14" x14ac:dyDescent="0.3">
      <c r="A377" t="s">
        <v>1160</v>
      </c>
      <c r="B377" t="s">
        <v>629</v>
      </c>
      <c r="C377" t="s">
        <v>635</v>
      </c>
      <c r="D377">
        <v>2</v>
      </c>
      <c r="E377" t="s">
        <v>640</v>
      </c>
      <c r="F377" t="s">
        <v>630</v>
      </c>
      <c r="G377">
        <v>2192</v>
      </c>
      <c r="H377">
        <v>1742</v>
      </c>
      <c r="I377">
        <v>45</v>
      </c>
      <c r="J377">
        <v>360</v>
      </c>
      <c r="K377">
        <v>1</v>
      </c>
      <c r="L377" t="s">
        <v>646</v>
      </c>
      <c r="M377" t="s">
        <v>633</v>
      </c>
      <c r="N377">
        <f t="shared" si="8"/>
        <v>3934</v>
      </c>
    </row>
    <row r="378" spans="1:14" x14ac:dyDescent="0.3">
      <c r="A378" t="s">
        <v>1161</v>
      </c>
      <c r="B378" t="s">
        <v>629</v>
      </c>
      <c r="C378" t="s">
        <v>630</v>
      </c>
      <c r="D378">
        <v>0</v>
      </c>
      <c r="E378" t="s">
        <v>631</v>
      </c>
      <c r="F378" t="s">
        <v>630</v>
      </c>
      <c r="G378">
        <v>2500</v>
      </c>
      <c r="H378">
        <v>0</v>
      </c>
      <c r="I378">
        <v>55</v>
      </c>
      <c r="J378">
        <v>360</v>
      </c>
      <c r="K378">
        <v>1</v>
      </c>
      <c r="L378" t="s">
        <v>646</v>
      </c>
      <c r="M378" t="s">
        <v>633</v>
      </c>
      <c r="N378">
        <f t="shared" si="8"/>
        <v>2500</v>
      </c>
    </row>
    <row r="379" spans="1:14" x14ac:dyDescent="0.3">
      <c r="A379" t="s">
        <v>1162</v>
      </c>
      <c r="B379" t="s">
        <v>629</v>
      </c>
      <c r="C379" t="s">
        <v>635</v>
      </c>
      <c r="D379" t="s">
        <v>645</v>
      </c>
      <c r="E379" t="s">
        <v>631</v>
      </c>
      <c r="F379" t="s">
        <v>635</v>
      </c>
      <c r="G379">
        <v>5677</v>
      </c>
      <c r="H379">
        <v>1424</v>
      </c>
      <c r="I379">
        <v>100</v>
      </c>
      <c r="J379">
        <v>360</v>
      </c>
      <c r="K379">
        <v>1</v>
      </c>
      <c r="L379" t="s">
        <v>636</v>
      </c>
      <c r="M379" t="s">
        <v>633</v>
      </c>
      <c r="N379">
        <f t="shared" si="8"/>
        <v>7101</v>
      </c>
    </row>
    <row r="380" spans="1:14" x14ac:dyDescent="0.3">
      <c r="A380" t="s">
        <v>1166</v>
      </c>
      <c r="B380" t="s">
        <v>629</v>
      </c>
      <c r="C380" t="s">
        <v>635</v>
      </c>
      <c r="D380">
        <v>0</v>
      </c>
      <c r="E380" t="s">
        <v>631</v>
      </c>
      <c r="F380" t="s">
        <v>630</v>
      </c>
      <c r="G380">
        <v>3775</v>
      </c>
      <c r="H380">
        <v>0</v>
      </c>
      <c r="I380">
        <v>110</v>
      </c>
      <c r="J380">
        <v>360</v>
      </c>
      <c r="K380">
        <v>1</v>
      </c>
      <c r="L380" t="s">
        <v>646</v>
      </c>
      <c r="M380" t="s">
        <v>633</v>
      </c>
      <c r="N380">
        <f t="shared" si="8"/>
        <v>3775</v>
      </c>
    </row>
    <row r="381" spans="1:14" x14ac:dyDescent="0.3">
      <c r="A381" t="s">
        <v>1167</v>
      </c>
      <c r="B381" t="s">
        <v>629</v>
      </c>
      <c r="C381" t="s">
        <v>635</v>
      </c>
      <c r="D381">
        <v>1</v>
      </c>
      <c r="E381" t="s">
        <v>640</v>
      </c>
      <c r="F381" t="s">
        <v>630</v>
      </c>
      <c r="G381">
        <v>5285</v>
      </c>
      <c r="H381">
        <v>1430</v>
      </c>
      <c r="I381">
        <v>161</v>
      </c>
      <c r="J381">
        <v>360</v>
      </c>
      <c r="K381">
        <v>0</v>
      </c>
      <c r="L381" t="s">
        <v>646</v>
      </c>
      <c r="M381" t="s">
        <v>633</v>
      </c>
      <c r="N381">
        <f t="shared" si="8"/>
        <v>6715</v>
      </c>
    </row>
    <row r="382" spans="1:14" x14ac:dyDescent="0.3">
      <c r="A382" t="s">
        <v>1168</v>
      </c>
      <c r="B382" t="s">
        <v>629</v>
      </c>
      <c r="C382" t="s">
        <v>630</v>
      </c>
      <c r="D382">
        <v>1</v>
      </c>
      <c r="E382" t="s">
        <v>640</v>
      </c>
      <c r="F382" t="s">
        <v>630</v>
      </c>
      <c r="G382">
        <v>2679</v>
      </c>
      <c r="H382">
        <v>1302</v>
      </c>
      <c r="I382">
        <v>94</v>
      </c>
      <c r="J382">
        <v>360</v>
      </c>
      <c r="K382">
        <v>1</v>
      </c>
      <c r="L382" t="s">
        <v>646</v>
      </c>
      <c r="M382" t="s">
        <v>633</v>
      </c>
      <c r="N382">
        <f t="shared" si="8"/>
        <v>3981</v>
      </c>
    </row>
    <row r="383" spans="1:14" x14ac:dyDescent="0.3">
      <c r="A383" t="s">
        <v>1169</v>
      </c>
      <c r="B383" t="s">
        <v>629</v>
      </c>
      <c r="C383" t="s">
        <v>630</v>
      </c>
      <c r="D383">
        <v>0</v>
      </c>
      <c r="E383" t="s">
        <v>640</v>
      </c>
      <c r="F383" t="s">
        <v>630</v>
      </c>
      <c r="G383">
        <v>6783</v>
      </c>
      <c r="H383">
        <v>0</v>
      </c>
      <c r="I383">
        <v>130</v>
      </c>
      <c r="J383">
        <v>360</v>
      </c>
      <c r="K383">
        <v>1</v>
      </c>
      <c r="L383" t="s">
        <v>646</v>
      </c>
      <c r="M383" t="s">
        <v>633</v>
      </c>
      <c r="N383">
        <f t="shared" si="8"/>
        <v>6783</v>
      </c>
    </row>
    <row r="384" spans="1:14" x14ac:dyDescent="0.3">
      <c r="A384" t="s">
        <v>1171</v>
      </c>
      <c r="B384" t="s">
        <v>629</v>
      </c>
      <c r="C384" t="s">
        <v>635</v>
      </c>
      <c r="D384" t="s">
        <v>645</v>
      </c>
      <c r="E384" t="s">
        <v>631</v>
      </c>
      <c r="F384" t="s">
        <v>630</v>
      </c>
      <c r="G384">
        <v>4281</v>
      </c>
      <c r="H384">
        <v>0</v>
      </c>
      <c r="I384">
        <v>100</v>
      </c>
      <c r="J384">
        <v>360</v>
      </c>
      <c r="K384">
        <v>1</v>
      </c>
      <c r="L384" t="s">
        <v>632</v>
      </c>
      <c r="M384" t="s">
        <v>633</v>
      </c>
      <c r="N384">
        <f t="shared" si="8"/>
        <v>4281</v>
      </c>
    </row>
    <row r="385" spans="1:14" x14ac:dyDescent="0.3">
      <c r="A385" t="s">
        <v>1172</v>
      </c>
      <c r="B385" t="s">
        <v>629</v>
      </c>
      <c r="C385" t="s">
        <v>630</v>
      </c>
      <c r="D385">
        <v>2</v>
      </c>
      <c r="E385" t="s">
        <v>631</v>
      </c>
      <c r="F385" t="s">
        <v>630</v>
      </c>
      <c r="G385">
        <v>3588</v>
      </c>
      <c r="H385">
        <v>0</v>
      </c>
      <c r="I385">
        <v>110</v>
      </c>
      <c r="J385">
        <v>360</v>
      </c>
      <c r="K385">
        <v>0</v>
      </c>
      <c r="L385" t="s">
        <v>636</v>
      </c>
      <c r="M385" t="s">
        <v>637</v>
      </c>
      <c r="N385">
        <f t="shared" si="8"/>
        <v>3588</v>
      </c>
    </row>
    <row r="386" spans="1:14" x14ac:dyDescent="0.3">
      <c r="A386" t="s">
        <v>1174</v>
      </c>
      <c r="B386" t="s">
        <v>657</v>
      </c>
      <c r="C386" t="s">
        <v>630</v>
      </c>
      <c r="D386">
        <v>0</v>
      </c>
      <c r="E386" t="s">
        <v>640</v>
      </c>
      <c r="F386" t="s">
        <v>635</v>
      </c>
      <c r="G386">
        <v>18165</v>
      </c>
      <c r="H386">
        <v>0</v>
      </c>
      <c r="I386">
        <v>125</v>
      </c>
      <c r="J386">
        <v>360</v>
      </c>
      <c r="K386">
        <v>1</v>
      </c>
      <c r="L386" t="s">
        <v>632</v>
      </c>
      <c r="M386" t="s">
        <v>633</v>
      </c>
      <c r="N386">
        <f t="shared" si="8"/>
        <v>18165</v>
      </c>
    </row>
    <row r="387" spans="1:14" x14ac:dyDescent="0.3">
      <c r="A387" t="s">
        <v>1177</v>
      </c>
      <c r="B387" t="s">
        <v>629</v>
      </c>
      <c r="C387" t="s">
        <v>630</v>
      </c>
      <c r="D387">
        <v>2</v>
      </c>
      <c r="E387" t="s">
        <v>631</v>
      </c>
      <c r="F387" t="s">
        <v>630</v>
      </c>
      <c r="G387">
        <v>3617</v>
      </c>
      <c r="H387">
        <v>0</v>
      </c>
      <c r="I387">
        <v>107</v>
      </c>
      <c r="J387">
        <v>360</v>
      </c>
      <c r="K387">
        <v>1</v>
      </c>
      <c r="L387" t="s">
        <v>646</v>
      </c>
      <c r="M387" t="s">
        <v>633</v>
      </c>
      <c r="N387">
        <f t="shared" ref="N387:N445" si="9">G387+H387</f>
        <v>3617</v>
      </c>
    </row>
    <row r="388" spans="1:14" x14ac:dyDescent="0.3">
      <c r="A388" t="s">
        <v>1178</v>
      </c>
      <c r="B388" t="s">
        <v>629</v>
      </c>
      <c r="C388" t="s">
        <v>635</v>
      </c>
      <c r="D388">
        <v>0</v>
      </c>
      <c r="E388" t="s">
        <v>640</v>
      </c>
      <c r="F388" t="s">
        <v>630</v>
      </c>
      <c r="G388">
        <v>2917</v>
      </c>
      <c r="H388">
        <v>536</v>
      </c>
      <c r="I388">
        <v>66</v>
      </c>
      <c r="J388">
        <v>360</v>
      </c>
      <c r="K388">
        <v>1</v>
      </c>
      <c r="L388" t="s">
        <v>636</v>
      </c>
      <c r="M388" t="s">
        <v>637</v>
      </c>
      <c r="N388">
        <f t="shared" si="9"/>
        <v>3453</v>
      </c>
    </row>
    <row r="389" spans="1:14" x14ac:dyDescent="0.3">
      <c r="A389" t="s">
        <v>1179</v>
      </c>
      <c r="B389" t="s">
        <v>629</v>
      </c>
      <c r="C389" t="s">
        <v>635</v>
      </c>
      <c r="D389" t="s">
        <v>645</v>
      </c>
      <c r="E389" t="s">
        <v>631</v>
      </c>
      <c r="F389" t="s">
        <v>630</v>
      </c>
      <c r="G389">
        <v>6417</v>
      </c>
      <c r="H389">
        <v>0</v>
      </c>
      <c r="I389">
        <v>157</v>
      </c>
      <c r="J389">
        <v>180</v>
      </c>
      <c r="K389">
        <v>1</v>
      </c>
      <c r="L389" t="s">
        <v>636</v>
      </c>
      <c r="M389" t="s">
        <v>633</v>
      </c>
      <c r="N389">
        <f t="shared" si="9"/>
        <v>6417</v>
      </c>
    </row>
    <row r="390" spans="1:14" x14ac:dyDescent="0.3">
      <c r="A390" t="s">
        <v>1180</v>
      </c>
      <c r="B390" t="s">
        <v>657</v>
      </c>
      <c r="C390" t="s">
        <v>635</v>
      </c>
      <c r="D390">
        <v>1</v>
      </c>
      <c r="E390" t="s">
        <v>631</v>
      </c>
      <c r="F390" t="s">
        <v>630</v>
      </c>
      <c r="G390">
        <v>4608</v>
      </c>
      <c r="H390">
        <v>2845</v>
      </c>
      <c r="I390">
        <v>140</v>
      </c>
      <c r="J390">
        <v>180</v>
      </c>
      <c r="K390">
        <v>1</v>
      </c>
      <c r="L390" t="s">
        <v>646</v>
      </c>
      <c r="M390" t="s">
        <v>633</v>
      </c>
      <c r="N390">
        <f t="shared" si="9"/>
        <v>7453</v>
      </c>
    </row>
    <row r="391" spans="1:14" x14ac:dyDescent="0.3">
      <c r="A391" t="s">
        <v>1181</v>
      </c>
      <c r="B391" t="s">
        <v>657</v>
      </c>
      <c r="C391" t="s">
        <v>630</v>
      </c>
      <c r="D391">
        <v>0</v>
      </c>
      <c r="E391" t="s">
        <v>631</v>
      </c>
      <c r="F391" t="s">
        <v>630</v>
      </c>
      <c r="G391">
        <v>2138</v>
      </c>
      <c r="H391">
        <v>0</v>
      </c>
      <c r="I391">
        <v>99</v>
      </c>
      <c r="J391">
        <v>360</v>
      </c>
      <c r="K391">
        <v>0</v>
      </c>
      <c r="L391" t="s">
        <v>646</v>
      </c>
      <c r="M391" t="s">
        <v>637</v>
      </c>
      <c r="N391">
        <f t="shared" si="9"/>
        <v>2138</v>
      </c>
    </row>
    <row r="392" spans="1:14" x14ac:dyDescent="0.3">
      <c r="A392" t="s">
        <v>1183</v>
      </c>
      <c r="B392" t="s">
        <v>629</v>
      </c>
      <c r="C392" t="s">
        <v>635</v>
      </c>
      <c r="D392">
        <v>1</v>
      </c>
      <c r="E392" t="s">
        <v>640</v>
      </c>
      <c r="F392" t="s">
        <v>630</v>
      </c>
      <c r="G392">
        <v>2239</v>
      </c>
      <c r="H392">
        <v>2524</v>
      </c>
      <c r="I392">
        <v>128</v>
      </c>
      <c r="J392">
        <v>360</v>
      </c>
      <c r="K392">
        <v>1</v>
      </c>
      <c r="L392" t="s">
        <v>632</v>
      </c>
      <c r="M392" t="s">
        <v>633</v>
      </c>
      <c r="N392">
        <f t="shared" si="9"/>
        <v>4763</v>
      </c>
    </row>
    <row r="393" spans="1:14" x14ac:dyDescent="0.3">
      <c r="A393" t="s">
        <v>1185</v>
      </c>
      <c r="B393" t="s">
        <v>629</v>
      </c>
      <c r="C393" t="s">
        <v>635</v>
      </c>
      <c r="D393">
        <v>0</v>
      </c>
      <c r="E393" t="s">
        <v>631</v>
      </c>
      <c r="F393" t="s">
        <v>630</v>
      </c>
      <c r="G393">
        <v>2768</v>
      </c>
      <c r="H393">
        <v>1950</v>
      </c>
      <c r="I393">
        <v>155</v>
      </c>
      <c r="J393">
        <v>360</v>
      </c>
      <c r="K393">
        <v>1</v>
      </c>
      <c r="L393" t="s">
        <v>636</v>
      </c>
      <c r="M393" t="s">
        <v>633</v>
      </c>
      <c r="N393">
        <f t="shared" si="9"/>
        <v>4718</v>
      </c>
    </row>
    <row r="394" spans="1:14" x14ac:dyDescent="0.3">
      <c r="A394" t="s">
        <v>1186</v>
      </c>
      <c r="B394" t="s">
        <v>629</v>
      </c>
      <c r="C394" t="s">
        <v>630</v>
      </c>
      <c r="D394">
        <v>0</v>
      </c>
      <c r="E394" t="s">
        <v>640</v>
      </c>
      <c r="F394" t="s">
        <v>630</v>
      </c>
      <c r="G394">
        <v>3358</v>
      </c>
      <c r="H394">
        <v>0</v>
      </c>
      <c r="I394">
        <v>80</v>
      </c>
      <c r="J394">
        <v>36</v>
      </c>
      <c r="K394">
        <v>1</v>
      </c>
      <c r="L394" t="s">
        <v>646</v>
      </c>
      <c r="M394" t="s">
        <v>637</v>
      </c>
      <c r="N394">
        <f t="shared" si="9"/>
        <v>3358</v>
      </c>
    </row>
    <row r="395" spans="1:14" x14ac:dyDescent="0.3">
      <c r="A395" t="s">
        <v>1187</v>
      </c>
      <c r="B395" t="s">
        <v>629</v>
      </c>
      <c r="C395" t="s">
        <v>630</v>
      </c>
      <c r="D395">
        <v>0</v>
      </c>
      <c r="E395" t="s">
        <v>631</v>
      </c>
      <c r="F395" t="s">
        <v>630</v>
      </c>
      <c r="G395">
        <v>2526</v>
      </c>
      <c r="H395">
        <v>1783</v>
      </c>
      <c r="I395">
        <v>145</v>
      </c>
      <c r="J395">
        <v>360</v>
      </c>
      <c r="K395">
        <v>1</v>
      </c>
      <c r="L395" t="s">
        <v>636</v>
      </c>
      <c r="M395" t="s">
        <v>633</v>
      </c>
      <c r="N395">
        <f t="shared" si="9"/>
        <v>4309</v>
      </c>
    </row>
    <row r="396" spans="1:14" x14ac:dyDescent="0.3">
      <c r="A396" t="s">
        <v>1188</v>
      </c>
      <c r="B396" t="s">
        <v>657</v>
      </c>
      <c r="C396" t="s">
        <v>630</v>
      </c>
      <c r="D396">
        <v>0</v>
      </c>
      <c r="E396" t="s">
        <v>631</v>
      </c>
      <c r="F396" t="s">
        <v>630</v>
      </c>
      <c r="G396">
        <v>5000</v>
      </c>
      <c r="H396">
        <v>0</v>
      </c>
      <c r="I396">
        <v>103</v>
      </c>
      <c r="J396">
        <v>360</v>
      </c>
      <c r="K396">
        <v>0</v>
      </c>
      <c r="L396" t="s">
        <v>646</v>
      </c>
      <c r="M396" t="s">
        <v>637</v>
      </c>
      <c r="N396">
        <f t="shared" si="9"/>
        <v>5000</v>
      </c>
    </row>
    <row r="397" spans="1:14" x14ac:dyDescent="0.3">
      <c r="A397" t="s">
        <v>1189</v>
      </c>
      <c r="B397" t="s">
        <v>629</v>
      </c>
      <c r="C397" t="s">
        <v>635</v>
      </c>
      <c r="D397">
        <v>0</v>
      </c>
      <c r="E397" t="s">
        <v>631</v>
      </c>
      <c r="F397" t="s">
        <v>630</v>
      </c>
      <c r="G397">
        <v>2785</v>
      </c>
      <c r="H397">
        <v>2016</v>
      </c>
      <c r="I397">
        <v>110</v>
      </c>
      <c r="J397">
        <v>360</v>
      </c>
      <c r="K397">
        <v>1</v>
      </c>
      <c r="L397" t="s">
        <v>636</v>
      </c>
      <c r="M397" t="s">
        <v>633</v>
      </c>
      <c r="N397">
        <f t="shared" si="9"/>
        <v>4801</v>
      </c>
    </row>
    <row r="398" spans="1:14" x14ac:dyDescent="0.3">
      <c r="A398" t="s">
        <v>1192</v>
      </c>
      <c r="B398" t="s">
        <v>629</v>
      </c>
      <c r="C398" t="s">
        <v>635</v>
      </c>
      <c r="D398">
        <v>1</v>
      </c>
      <c r="E398" t="s">
        <v>631</v>
      </c>
      <c r="F398" t="s">
        <v>630</v>
      </c>
      <c r="G398">
        <v>3333</v>
      </c>
      <c r="H398">
        <v>3250</v>
      </c>
      <c r="I398">
        <v>158</v>
      </c>
      <c r="J398">
        <v>360</v>
      </c>
      <c r="K398">
        <v>1</v>
      </c>
      <c r="L398" t="s">
        <v>632</v>
      </c>
      <c r="M398" t="s">
        <v>633</v>
      </c>
      <c r="N398">
        <f t="shared" si="9"/>
        <v>6583</v>
      </c>
    </row>
    <row r="399" spans="1:14" x14ac:dyDescent="0.3">
      <c r="A399" t="s">
        <v>1193</v>
      </c>
      <c r="B399" t="s">
        <v>629</v>
      </c>
      <c r="C399" t="s">
        <v>635</v>
      </c>
      <c r="D399">
        <v>0</v>
      </c>
      <c r="E399" t="s">
        <v>640</v>
      </c>
      <c r="F399" t="s">
        <v>630</v>
      </c>
      <c r="G399">
        <v>2454</v>
      </c>
      <c r="H399">
        <v>2333</v>
      </c>
      <c r="I399">
        <v>181</v>
      </c>
      <c r="J399">
        <v>360</v>
      </c>
      <c r="K399">
        <v>0</v>
      </c>
      <c r="L399" t="s">
        <v>632</v>
      </c>
      <c r="M399" t="s">
        <v>637</v>
      </c>
      <c r="N399">
        <f t="shared" si="9"/>
        <v>4787</v>
      </c>
    </row>
    <row r="400" spans="1:14" x14ac:dyDescent="0.3">
      <c r="A400" t="s">
        <v>1194</v>
      </c>
      <c r="B400" t="s">
        <v>629</v>
      </c>
      <c r="C400" t="s">
        <v>635</v>
      </c>
      <c r="D400">
        <v>0</v>
      </c>
      <c r="E400" t="s">
        <v>631</v>
      </c>
      <c r="F400" t="s">
        <v>630</v>
      </c>
      <c r="G400">
        <v>3593</v>
      </c>
      <c r="H400">
        <v>4266</v>
      </c>
      <c r="I400">
        <v>132</v>
      </c>
      <c r="J400">
        <v>180</v>
      </c>
      <c r="K400">
        <v>0</v>
      </c>
      <c r="L400" t="s">
        <v>636</v>
      </c>
      <c r="M400" t="s">
        <v>637</v>
      </c>
      <c r="N400">
        <f t="shared" si="9"/>
        <v>7859</v>
      </c>
    </row>
    <row r="401" spans="1:14" x14ac:dyDescent="0.3">
      <c r="A401" t="s">
        <v>1195</v>
      </c>
      <c r="B401" t="s">
        <v>629</v>
      </c>
      <c r="C401" t="s">
        <v>635</v>
      </c>
      <c r="D401">
        <v>1</v>
      </c>
      <c r="E401" t="s">
        <v>631</v>
      </c>
      <c r="F401" t="s">
        <v>630</v>
      </c>
      <c r="G401">
        <v>5468</v>
      </c>
      <c r="H401">
        <v>1032</v>
      </c>
      <c r="I401">
        <v>26</v>
      </c>
      <c r="J401">
        <v>360</v>
      </c>
      <c r="K401">
        <v>1</v>
      </c>
      <c r="L401" t="s">
        <v>646</v>
      </c>
      <c r="M401" t="s">
        <v>633</v>
      </c>
      <c r="N401">
        <f t="shared" si="9"/>
        <v>6500</v>
      </c>
    </row>
    <row r="402" spans="1:14" x14ac:dyDescent="0.3">
      <c r="A402" t="s">
        <v>1197</v>
      </c>
      <c r="B402" t="s">
        <v>629</v>
      </c>
      <c r="C402" t="s">
        <v>635</v>
      </c>
      <c r="D402" t="s">
        <v>645</v>
      </c>
      <c r="E402" t="s">
        <v>631</v>
      </c>
      <c r="F402" t="s">
        <v>635</v>
      </c>
      <c r="G402">
        <v>10139</v>
      </c>
      <c r="H402">
        <v>0</v>
      </c>
      <c r="I402">
        <v>260</v>
      </c>
      <c r="J402">
        <v>360</v>
      </c>
      <c r="K402">
        <v>1</v>
      </c>
      <c r="L402" t="s">
        <v>646</v>
      </c>
      <c r="M402" t="s">
        <v>633</v>
      </c>
      <c r="N402">
        <f t="shared" si="9"/>
        <v>10139</v>
      </c>
    </row>
    <row r="403" spans="1:14" x14ac:dyDescent="0.3">
      <c r="A403" t="s">
        <v>1198</v>
      </c>
      <c r="B403" t="s">
        <v>629</v>
      </c>
      <c r="C403" t="s">
        <v>635</v>
      </c>
      <c r="D403">
        <v>0</v>
      </c>
      <c r="E403" t="s">
        <v>631</v>
      </c>
      <c r="F403" t="s">
        <v>630</v>
      </c>
      <c r="G403">
        <v>3887</v>
      </c>
      <c r="H403">
        <v>2669</v>
      </c>
      <c r="I403">
        <v>162</v>
      </c>
      <c r="J403">
        <v>360</v>
      </c>
      <c r="K403">
        <v>1</v>
      </c>
      <c r="L403" t="s">
        <v>646</v>
      </c>
      <c r="M403" t="s">
        <v>633</v>
      </c>
      <c r="N403">
        <f t="shared" si="9"/>
        <v>6556</v>
      </c>
    </row>
    <row r="404" spans="1:14" x14ac:dyDescent="0.3">
      <c r="A404" t="s">
        <v>1199</v>
      </c>
      <c r="B404" t="s">
        <v>657</v>
      </c>
      <c r="C404" t="s">
        <v>635</v>
      </c>
      <c r="D404">
        <v>0</v>
      </c>
      <c r="E404" t="s">
        <v>631</v>
      </c>
      <c r="F404" t="s">
        <v>630</v>
      </c>
      <c r="G404">
        <v>4180</v>
      </c>
      <c r="H404">
        <v>2306</v>
      </c>
      <c r="I404">
        <v>182</v>
      </c>
      <c r="J404">
        <v>360</v>
      </c>
      <c r="K404">
        <v>1</v>
      </c>
      <c r="L404" t="s">
        <v>646</v>
      </c>
      <c r="M404" t="s">
        <v>633</v>
      </c>
      <c r="N404">
        <f t="shared" si="9"/>
        <v>6486</v>
      </c>
    </row>
    <row r="405" spans="1:14" x14ac:dyDescent="0.3">
      <c r="A405" t="s">
        <v>1200</v>
      </c>
      <c r="B405" t="s">
        <v>629</v>
      </c>
      <c r="C405" t="s">
        <v>635</v>
      </c>
      <c r="D405">
        <v>2</v>
      </c>
      <c r="E405" t="s">
        <v>640</v>
      </c>
      <c r="F405" t="s">
        <v>630</v>
      </c>
      <c r="G405">
        <v>3675</v>
      </c>
      <c r="H405">
        <v>242</v>
      </c>
      <c r="I405">
        <v>108</v>
      </c>
      <c r="J405">
        <v>360</v>
      </c>
      <c r="K405">
        <v>1</v>
      </c>
      <c r="L405" t="s">
        <v>646</v>
      </c>
      <c r="M405" t="s">
        <v>633</v>
      </c>
      <c r="N405">
        <f t="shared" si="9"/>
        <v>3917</v>
      </c>
    </row>
    <row r="406" spans="1:14" x14ac:dyDescent="0.3">
      <c r="A406" t="s">
        <v>1202</v>
      </c>
      <c r="B406" t="s">
        <v>629</v>
      </c>
      <c r="C406" t="s">
        <v>635</v>
      </c>
      <c r="D406">
        <v>0</v>
      </c>
      <c r="E406" t="s">
        <v>631</v>
      </c>
      <c r="F406" t="s">
        <v>630</v>
      </c>
      <c r="G406">
        <v>5923</v>
      </c>
      <c r="H406">
        <v>2054</v>
      </c>
      <c r="I406">
        <v>211</v>
      </c>
      <c r="J406">
        <v>360</v>
      </c>
      <c r="K406">
        <v>1</v>
      </c>
      <c r="L406" t="s">
        <v>636</v>
      </c>
      <c r="M406" t="s">
        <v>633</v>
      </c>
      <c r="N406">
        <f t="shared" si="9"/>
        <v>7977</v>
      </c>
    </row>
    <row r="407" spans="1:14" x14ac:dyDescent="0.3">
      <c r="A407" t="s">
        <v>1203</v>
      </c>
      <c r="B407" t="s">
        <v>629</v>
      </c>
      <c r="C407" t="s">
        <v>630</v>
      </c>
      <c r="D407">
        <v>0</v>
      </c>
      <c r="E407" t="s">
        <v>640</v>
      </c>
      <c r="F407" t="s">
        <v>635</v>
      </c>
      <c r="G407">
        <v>5800</v>
      </c>
      <c r="H407">
        <v>0</v>
      </c>
      <c r="I407">
        <v>132</v>
      </c>
      <c r="J407">
        <v>360</v>
      </c>
      <c r="K407">
        <v>1</v>
      </c>
      <c r="L407" t="s">
        <v>646</v>
      </c>
      <c r="M407" t="s">
        <v>633</v>
      </c>
      <c r="N407">
        <f t="shared" si="9"/>
        <v>5800</v>
      </c>
    </row>
    <row r="408" spans="1:14" x14ac:dyDescent="0.3">
      <c r="A408" t="s">
        <v>1204</v>
      </c>
      <c r="B408" t="s">
        <v>629</v>
      </c>
      <c r="C408" t="s">
        <v>635</v>
      </c>
      <c r="D408">
        <v>2</v>
      </c>
      <c r="E408" t="s">
        <v>631</v>
      </c>
      <c r="F408" t="s">
        <v>630</v>
      </c>
      <c r="G408">
        <v>8799</v>
      </c>
      <c r="H408">
        <v>0</v>
      </c>
      <c r="I408">
        <v>258</v>
      </c>
      <c r="J408">
        <v>360</v>
      </c>
      <c r="K408">
        <v>0</v>
      </c>
      <c r="L408" t="s">
        <v>632</v>
      </c>
      <c r="M408" t="s">
        <v>637</v>
      </c>
      <c r="N408">
        <f t="shared" si="9"/>
        <v>8799</v>
      </c>
    </row>
    <row r="409" spans="1:14" x14ac:dyDescent="0.3">
      <c r="A409" t="s">
        <v>1206</v>
      </c>
      <c r="B409" t="s">
        <v>629</v>
      </c>
      <c r="C409" t="s">
        <v>630</v>
      </c>
      <c r="D409">
        <v>0</v>
      </c>
      <c r="E409" t="s">
        <v>631</v>
      </c>
      <c r="F409" t="s">
        <v>630</v>
      </c>
      <c r="G409">
        <v>3333</v>
      </c>
      <c r="H409">
        <v>0</v>
      </c>
      <c r="I409">
        <v>70</v>
      </c>
      <c r="J409">
        <v>360</v>
      </c>
      <c r="K409">
        <v>1</v>
      </c>
      <c r="L409" t="s">
        <v>632</v>
      </c>
      <c r="M409" t="s">
        <v>633</v>
      </c>
      <c r="N409">
        <f t="shared" si="9"/>
        <v>3333</v>
      </c>
    </row>
    <row r="410" spans="1:14" x14ac:dyDescent="0.3">
      <c r="A410" t="s">
        <v>1207</v>
      </c>
      <c r="B410" t="s">
        <v>629</v>
      </c>
      <c r="C410" t="s">
        <v>635</v>
      </c>
      <c r="D410" t="s">
        <v>645</v>
      </c>
      <c r="E410" t="s">
        <v>631</v>
      </c>
      <c r="F410" t="s">
        <v>630</v>
      </c>
      <c r="G410">
        <v>3400</v>
      </c>
      <c r="H410">
        <v>2500</v>
      </c>
      <c r="I410">
        <v>123</v>
      </c>
      <c r="J410">
        <v>360</v>
      </c>
      <c r="K410">
        <v>0</v>
      </c>
      <c r="L410" t="s">
        <v>636</v>
      </c>
      <c r="M410" t="s">
        <v>637</v>
      </c>
      <c r="N410">
        <f t="shared" si="9"/>
        <v>5900</v>
      </c>
    </row>
    <row r="411" spans="1:14" x14ac:dyDescent="0.3">
      <c r="A411" t="s">
        <v>1208</v>
      </c>
      <c r="B411" t="s">
        <v>657</v>
      </c>
      <c r="C411" t="s">
        <v>630</v>
      </c>
      <c r="D411">
        <v>0</v>
      </c>
      <c r="E411" t="s">
        <v>631</v>
      </c>
      <c r="F411" t="s">
        <v>630</v>
      </c>
      <c r="G411">
        <v>2378</v>
      </c>
      <c r="H411">
        <v>0</v>
      </c>
      <c r="I411">
        <v>9</v>
      </c>
      <c r="J411">
        <v>360</v>
      </c>
      <c r="K411">
        <v>1</v>
      </c>
      <c r="L411" t="s">
        <v>632</v>
      </c>
      <c r="M411" t="s">
        <v>637</v>
      </c>
      <c r="N411">
        <f t="shared" si="9"/>
        <v>2378</v>
      </c>
    </row>
    <row r="412" spans="1:14" x14ac:dyDescent="0.3">
      <c r="A412" t="s">
        <v>1209</v>
      </c>
      <c r="B412" t="s">
        <v>629</v>
      </c>
      <c r="C412" t="s">
        <v>635</v>
      </c>
      <c r="D412">
        <v>0</v>
      </c>
      <c r="E412" t="s">
        <v>631</v>
      </c>
      <c r="F412" t="s">
        <v>630</v>
      </c>
      <c r="G412">
        <v>3166</v>
      </c>
      <c r="H412">
        <v>2064</v>
      </c>
      <c r="I412">
        <v>104</v>
      </c>
      <c r="J412">
        <v>360</v>
      </c>
      <c r="K412">
        <v>0</v>
      </c>
      <c r="L412" t="s">
        <v>632</v>
      </c>
      <c r="M412" t="s">
        <v>637</v>
      </c>
      <c r="N412">
        <f t="shared" si="9"/>
        <v>5230</v>
      </c>
    </row>
    <row r="413" spans="1:14" x14ac:dyDescent="0.3">
      <c r="A413" t="s">
        <v>1210</v>
      </c>
      <c r="B413" t="s">
        <v>629</v>
      </c>
      <c r="C413" t="s">
        <v>635</v>
      </c>
      <c r="D413">
        <v>1</v>
      </c>
      <c r="E413" t="s">
        <v>631</v>
      </c>
      <c r="F413" t="s">
        <v>630</v>
      </c>
      <c r="G413">
        <v>3417</v>
      </c>
      <c r="H413">
        <v>1750</v>
      </c>
      <c r="I413">
        <v>186</v>
      </c>
      <c r="J413">
        <v>360</v>
      </c>
      <c r="K413">
        <v>1</v>
      </c>
      <c r="L413" t="s">
        <v>632</v>
      </c>
      <c r="M413" t="s">
        <v>633</v>
      </c>
      <c r="N413">
        <f t="shared" si="9"/>
        <v>5167</v>
      </c>
    </row>
    <row r="414" spans="1:14" x14ac:dyDescent="0.3">
      <c r="A414" t="s">
        <v>1212</v>
      </c>
      <c r="B414" t="s">
        <v>629</v>
      </c>
      <c r="C414" t="s">
        <v>635</v>
      </c>
      <c r="D414">
        <v>2</v>
      </c>
      <c r="E414" t="s">
        <v>631</v>
      </c>
      <c r="F414" t="s">
        <v>630</v>
      </c>
      <c r="G414">
        <v>16666</v>
      </c>
      <c r="H414">
        <v>0</v>
      </c>
      <c r="I414">
        <v>275</v>
      </c>
      <c r="J414">
        <v>360</v>
      </c>
      <c r="K414">
        <v>1</v>
      </c>
      <c r="L414" t="s">
        <v>632</v>
      </c>
      <c r="M414" t="s">
        <v>633</v>
      </c>
      <c r="N414">
        <f t="shared" si="9"/>
        <v>16666</v>
      </c>
    </row>
    <row r="415" spans="1:14" x14ac:dyDescent="0.3">
      <c r="A415" t="s">
        <v>1213</v>
      </c>
      <c r="B415" t="s">
        <v>629</v>
      </c>
      <c r="C415" t="s">
        <v>635</v>
      </c>
      <c r="D415">
        <v>2</v>
      </c>
      <c r="E415" t="s">
        <v>640</v>
      </c>
      <c r="F415" t="s">
        <v>630</v>
      </c>
      <c r="G415">
        <v>6125</v>
      </c>
      <c r="H415">
        <v>1625</v>
      </c>
      <c r="I415">
        <v>187</v>
      </c>
      <c r="J415">
        <v>480</v>
      </c>
      <c r="K415">
        <v>1</v>
      </c>
      <c r="L415" t="s">
        <v>646</v>
      </c>
      <c r="M415" t="s">
        <v>637</v>
      </c>
      <c r="N415">
        <f t="shared" si="9"/>
        <v>7750</v>
      </c>
    </row>
    <row r="416" spans="1:14" x14ac:dyDescent="0.3">
      <c r="A416" t="s">
        <v>1214</v>
      </c>
      <c r="B416" t="s">
        <v>629</v>
      </c>
      <c r="C416" t="s">
        <v>635</v>
      </c>
      <c r="D416" t="s">
        <v>645</v>
      </c>
      <c r="E416" t="s">
        <v>631</v>
      </c>
      <c r="F416" t="s">
        <v>630</v>
      </c>
      <c r="G416">
        <v>6406</v>
      </c>
      <c r="H416">
        <v>0</v>
      </c>
      <c r="I416">
        <v>150</v>
      </c>
      <c r="J416">
        <v>360</v>
      </c>
      <c r="K416">
        <v>1</v>
      </c>
      <c r="L416" t="s">
        <v>646</v>
      </c>
      <c r="M416" t="s">
        <v>637</v>
      </c>
      <c r="N416">
        <f t="shared" si="9"/>
        <v>6406</v>
      </c>
    </row>
    <row r="417" spans="1:14" x14ac:dyDescent="0.3">
      <c r="A417" t="s">
        <v>1215</v>
      </c>
      <c r="B417" t="s">
        <v>629</v>
      </c>
      <c r="C417" t="s">
        <v>635</v>
      </c>
      <c r="D417">
        <v>2</v>
      </c>
      <c r="E417" t="s">
        <v>631</v>
      </c>
      <c r="F417" t="s">
        <v>630</v>
      </c>
      <c r="G417">
        <v>3159</v>
      </c>
      <c r="H417">
        <v>461</v>
      </c>
      <c r="I417">
        <v>108</v>
      </c>
      <c r="J417">
        <v>84</v>
      </c>
      <c r="K417">
        <v>1</v>
      </c>
      <c r="L417" t="s">
        <v>632</v>
      </c>
      <c r="M417" t="s">
        <v>633</v>
      </c>
      <c r="N417">
        <f t="shared" si="9"/>
        <v>3620</v>
      </c>
    </row>
    <row r="418" spans="1:14" x14ac:dyDescent="0.3">
      <c r="A418" t="s">
        <v>1217</v>
      </c>
      <c r="B418" t="s">
        <v>629</v>
      </c>
      <c r="C418" t="s">
        <v>630</v>
      </c>
      <c r="D418">
        <v>0</v>
      </c>
      <c r="E418" t="s">
        <v>631</v>
      </c>
      <c r="F418" t="s">
        <v>630</v>
      </c>
      <c r="G418">
        <v>3229</v>
      </c>
      <c r="H418">
        <v>2739</v>
      </c>
      <c r="I418">
        <v>110</v>
      </c>
      <c r="J418">
        <v>360</v>
      </c>
      <c r="K418">
        <v>1</v>
      </c>
      <c r="L418" t="s">
        <v>632</v>
      </c>
      <c r="M418" t="s">
        <v>633</v>
      </c>
      <c r="N418">
        <f t="shared" si="9"/>
        <v>5968</v>
      </c>
    </row>
    <row r="419" spans="1:14" x14ac:dyDescent="0.3">
      <c r="A419" t="s">
        <v>1218</v>
      </c>
      <c r="B419" t="s">
        <v>629</v>
      </c>
      <c r="C419" t="s">
        <v>635</v>
      </c>
      <c r="D419">
        <v>1</v>
      </c>
      <c r="E419" t="s">
        <v>631</v>
      </c>
      <c r="F419" t="s">
        <v>630</v>
      </c>
      <c r="G419">
        <v>1782</v>
      </c>
      <c r="H419">
        <v>2232</v>
      </c>
      <c r="I419">
        <v>107</v>
      </c>
      <c r="J419">
        <v>360</v>
      </c>
      <c r="K419">
        <v>1</v>
      </c>
      <c r="L419" t="s">
        <v>636</v>
      </c>
      <c r="M419" t="s">
        <v>633</v>
      </c>
      <c r="N419">
        <f t="shared" si="9"/>
        <v>4014</v>
      </c>
    </row>
    <row r="420" spans="1:14" x14ac:dyDescent="0.3">
      <c r="A420" t="s">
        <v>1220</v>
      </c>
      <c r="B420" t="s">
        <v>629</v>
      </c>
      <c r="C420" t="s">
        <v>635</v>
      </c>
      <c r="D420">
        <v>2</v>
      </c>
      <c r="E420" t="s">
        <v>631</v>
      </c>
      <c r="F420" t="s">
        <v>630</v>
      </c>
      <c r="G420">
        <v>6540</v>
      </c>
      <c r="H420">
        <v>0</v>
      </c>
      <c r="I420">
        <v>205</v>
      </c>
      <c r="J420">
        <v>360</v>
      </c>
      <c r="K420">
        <v>1</v>
      </c>
      <c r="L420" t="s">
        <v>646</v>
      </c>
      <c r="M420" t="s">
        <v>633</v>
      </c>
      <c r="N420">
        <f t="shared" si="9"/>
        <v>6540</v>
      </c>
    </row>
    <row r="421" spans="1:14" x14ac:dyDescent="0.3">
      <c r="A421" t="s">
        <v>1221</v>
      </c>
      <c r="B421" t="s">
        <v>629</v>
      </c>
      <c r="C421" t="s">
        <v>630</v>
      </c>
      <c r="D421">
        <v>0</v>
      </c>
      <c r="E421" t="s">
        <v>631</v>
      </c>
      <c r="F421" t="s">
        <v>630</v>
      </c>
      <c r="G421">
        <v>1836</v>
      </c>
      <c r="H421">
        <v>33837</v>
      </c>
      <c r="I421">
        <v>90</v>
      </c>
      <c r="J421">
        <v>360</v>
      </c>
      <c r="K421">
        <v>1</v>
      </c>
      <c r="L421" t="s">
        <v>632</v>
      </c>
      <c r="M421" t="s">
        <v>637</v>
      </c>
      <c r="N421">
        <f t="shared" si="9"/>
        <v>35673</v>
      </c>
    </row>
    <row r="422" spans="1:14" x14ac:dyDescent="0.3">
      <c r="A422" t="s">
        <v>1222</v>
      </c>
      <c r="B422" t="s">
        <v>657</v>
      </c>
      <c r="C422" t="s">
        <v>635</v>
      </c>
      <c r="D422">
        <v>0</v>
      </c>
      <c r="E422" t="s">
        <v>631</v>
      </c>
      <c r="F422" t="s">
        <v>630</v>
      </c>
      <c r="G422">
        <v>3166</v>
      </c>
      <c r="H422">
        <v>0</v>
      </c>
      <c r="I422">
        <v>36</v>
      </c>
      <c r="J422">
        <v>360</v>
      </c>
      <c r="K422">
        <v>1</v>
      </c>
      <c r="L422" t="s">
        <v>646</v>
      </c>
      <c r="M422" t="s">
        <v>633</v>
      </c>
      <c r="N422">
        <f t="shared" si="9"/>
        <v>3166</v>
      </c>
    </row>
    <row r="423" spans="1:14" x14ac:dyDescent="0.3">
      <c r="A423" t="s">
        <v>1224</v>
      </c>
      <c r="B423" t="s">
        <v>629</v>
      </c>
      <c r="C423" t="s">
        <v>635</v>
      </c>
      <c r="D423">
        <v>1</v>
      </c>
      <c r="E423" t="s">
        <v>631</v>
      </c>
      <c r="F423" t="s">
        <v>630</v>
      </c>
      <c r="G423">
        <v>2787</v>
      </c>
      <c r="H423">
        <v>1917</v>
      </c>
      <c r="I423">
        <v>146</v>
      </c>
      <c r="J423">
        <v>360</v>
      </c>
      <c r="K423">
        <v>0</v>
      </c>
      <c r="L423" t="s">
        <v>636</v>
      </c>
      <c r="M423" t="s">
        <v>637</v>
      </c>
      <c r="N423">
        <f t="shared" si="9"/>
        <v>4704</v>
      </c>
    </row>
    <row r="424" spans="1:14" x14ac:dyDescent="0.3">
      <c r="A424" t="s">
        <v>1225</v>
      </c>
      <c r="B424" t="s">
        <v>629</v>
      </c>
      <c r="C424" t="s">
        <v>635</v>
      </c>
      <c r="D424">
        <v>1</v>
      </c>
      <c r="E424" t="s">
        <v>631</v>
      </c>
      <c r="F424" t="s">
        <v>630</v>
      </c>
      <c r="G424">
        <v>4283</v>
      </c>
      <c r="H424">
        <v>3000</v>
      </c>
      <c r="I424">
        <v>172</v>
      </c>
      <c r="J424">
        <v>84</v>
      </c>
      <c r="K424">
        <v>1</v>
      </c>
      <c r="L424" t="s">
        <v>636</v>
      </c>
      <c r="M424" t="s">
        <v>637</v>
      </c>
      <c r="N424">
        <f t="shared" si="9"/>
        <v>7283</v>
      </c>
    </row>
    <row r="425" spans="1:14" x14ac:dyDescent="0.3">
      <c r="A425" t="s">
        <v>1226</v>
      </c>
      <c r="B425" t="s">
        <v>629</v>
      </c>
      <c r="C425" t="s">
        <v>635</v>
      </c>
      <c r="D425">
        <v>0</v>
      </c>
      <c r="E425" t="s">
        <v>631</v>
      </c>
      <c r="F425" t="s">
        <v>630</v>
      </c>
      <c r="G425">
        <v>2297</v>
      </c>
      <c r="H425">
        <v>1522</v>
      </c>
      <c r="I425">
        <v>104</v>
      </c>
      <c r="J425">
        <v>360</v>
      </c>
      <c r="K425">
        <v>1</v>
      </c>
      <c r="L425" t="s">
        <v>632</v>
      </c>
      <c r="M425" t="s">
        <v>633</v>
      </c>
      <c r="N425">
        <f t="shared" si="9"/>
        <v>3819</v>
      </c>
    </row>
    <row r="426" spans="1:14" x14ac:dyDescent="0.3">
      <c r="A426" t="s">
        <v>1227</v>
      </c>
      <c r="B426" t="s">
        <v>657</v>
      </c>
      <c r="C426" t="s">
        <v>630</v>
      </c>
      <c r="D426">
        <v>0</v>
      </c>
      <c r="E426" t="s">
        <v>640</v>
      </c>
      <c r="F426" t="s">
        <v>630</v>
      </c>
      <c r="G426">
        <v>2165</v>
      </c>
      <c r="H426">
        <v>0</v>
      </c>
      <c r="I426">
        <v>70</v>
      </c>
      <c r="J426">
        <v>360</v>
      </c>
      <c r="K426">
        <v>1</v>
      </c>
      <c r="L426" t="s">
        <v>646</v>
      </c>
      <c r="M426" t="s">
        <v>633</v>
      </c>
      <c r="N426">
        <f t="shared" si="9"/>
        <v>2165</v>
      </c>
    </row>
    <row r="427" spans="1:14" x14ac:dyDescent="0.3">
      <c r="A427" t="s">
        <v>1229</v>
      </c>
      <c r="B427" t="s">
        <v>629</v>
      </c>
      <c r="C427" t="s">
        <v>635</v>
      </c>
      <c r="D427">
        <v>2</v>
      </c>
      <c r="E427" t="s">
        <v>631</v>
      </c>
      <c r="F427" t="s">
        <v>635</v>
      </c>
      <c r="G427">
        <v>2726</v>
      </c>
      <c r="H427">
        <v>0</v>
      </c>
      <c r="I427">
        <v>106</v>
      </c>
      <c r="J427">
        <v>360</v>
      </c>
      <c r="K427">
        <v>0</v>
      </c>
      <c r="L427" t="s">
        <v>646</v>
      </c>
      <c r="M427" t="s">
        <v>637</v>
      </c>
      <c r="N427">
        <f t="shared" si="9"/>
        <v>2726</v>
      </c>
    </row>
    <row r="428" spans="1:14" x14ac:dyDescent="0.3">
      <c r="A428" t="s">
        <v>1230</v>
      </c>
      <c r="B428" t="s">
        <v>629</v>
      </c>
      <c r="C428" t="s">
        <v>635</v>
      </c>
      <c r="D428">
        <v>0</v>
      </c>
      <c r="E428" t="s">
        <v>631</v>
      </c>
      <c r="F428" t="s">
        <v>630</v>
      </c>
      <c r="G428">
        <v>3000</v>
      </c>
      <c r="H428">
        <v>3416</v>
      </c>
      <c r="I428">
        <v>56</v>
      </c>
      <c r="J428">
        <v>180</v>
      </c>
      <c r="K428">
        <v>1</v>
      </c>
      <c r="L428" t="s">
        <v>646</v>
      </c>
      <c r="M428" t="s">
        <v>633</v>
      </c>
      <c r="N428">
        <f t="shared" si="9"/>
        <v>6416</v>
      </c>
    </row>
    <row r="429" spans="1:14" x14ac:dyDescent="0.3">
      <c r="A429" t="s">
        <v>1231</v>
      </c>
      <c r="B429" t="s">
        <v>629</v>
      </c>
      <c r="C429" t="s">
        <v>635</v>
      </c>
      <c r="D429">
        <v>2</v>
      </c>
      <c r="E429" t="s">
        <v>631</v>
      </c>
      <c r="F429" t="s">
        <v>635</v>
      </c>
      <c r="G429">
        <v>6000</v>
      </c>
      <c r="H429">
        <v>0</v>
      </c>
      <c r="I429">
        <v>205</v>
      </c>
      <c r="J429">
        <v>240</v>
      </c>
      <c r="K429">
        <v>1</v>
      </c>
      <c r="L429" t="s">
        <v>646</v>
      </c>
      <c r="M429" t="s">
        <v>637</v>
      </c>
      <c r="N429">
        <f t="shared" si="9"/>
        <v>6000</v>
      </c>
    </row>
    <row r="430" spans="1:14" x14ac:dyDescent="0.3">
      <c r="A430" t="s">
        <v>1233</v>
      </c>
      <c r="B430" t="s">
        <v>629</v>
      </c>
      <c r="C430" t="s">
        <v>635</v>
      </c>
      <c r="D430">
        <v>0</v>
      </c>
      <c r="E430" t="s">
        <v>631</v>
      </c>
      <c r="F430" t="s">
        <v>630</v>
      </c>
      <c r="G430">
        <v>3859</v>
      </c>
      <c r="H430">
        <v>3300</v>
      </c>
      <c r="I430">
        <v>142</v>
      </c>
      <c r="J430">
        <v>180</v>
      </c>
      <c r="K430">
        <v>1</v>
      </c>
      <c r="L430" t="s">
        <v>636</v>
      </c>
      <c r="M430" t="s">
        <v>633</v>
      </c>
      <c r="N430">
        <f t="shared" si="9"/>
        <v>7159</v>
      </c>
    </row>
    <row r="431" spans="1:14" x14ac:dyDescent="0.3">
      <c r="A431" t="s">
        <v>1234</v>
      </c>
      <c r="B431" t="s">
        <v>629</v>
      </c>
      <c r="C431" t="s">
        <v>635</v>
      </c>
      <c r="D431">
        <v>0</v>
      </c>
      <c r="E431" t="s">
        <v>631</v>
      </c>
      <c r="F431" t="s">
        <v>635</v>
      </c>
      <c r="G431">
        <v>16120</v>
      </c>
      <c r="H431">
        <v>0</v>
      </c>
      <c r="I431">
        <v>260</v>
      </c>
      <c r="J431">
        <v>360</v>
      </c>
      <c r="K431">
        <v>1</v>
      </c>
      <c r="L431" t="s">
        <v>632</v>
      </c>
      <c r="M431" t="s">
        <v>633</v>
      </c>
      <c r="N431">
        <f t="shared" si="9"/>
        <v>16120</v>
      </c>
    </row>
    <row r="432" spans="1:14" x14ac:dyDescent="0.3">
      <c r="A432" t="s">
        <v>1235</v>
      </c>
      <c r="B432" t="s">
        <v>629</v>
      </c>
      <c r="C432" t="s">
        <v>630</v>
      </c>
      <c r="D432">
        <v>0</v>
      </c>
      <c r="E432" t="s">
        <v>640</v>
      </c>
      <c r="F432" t="s">
        <v>630</v>
      </c>
      <c r="G432">
        <v>3833</v>
      </c>
      <c r="H432">
        <v>0</v>
      </c>
      <c r="I432">
        <v>110</v>
      </c>
      <c r="J432">
        <v>360</v>
      </c>
      <c r="K432">
        <v>1</v>
      </c>
      <c r="L432" t="s">
        <v>636</v>
      </c>
      <c r="M432" t="s">
        <v>633</v>
      </c>
      <c r="N432">
        <f t="shared" si="9"/>
        <v>3833</v>
      </c>
    </row>
    <row r="433" spans="1:14" x14ac:dyDescent="0.3">
      <c r="A433" t="s">
        <v>1236</v>
      </c>
      <c r="B433" t="s">
        <v>629</v>
      </c>
      <c r="C433" t="s">
        <v>635</v>
      </c>
      <c r="D433">
        <v>2</v>
      </c>
      <c r="E433" t="s">
        <v>640</v>
      </c>
      <c r="F433" t="s">
        <v>635</v>
      </c>
      <c r="G433">
        <v>6383</v>
      </c>
      <c r="H433">
        <v>1000</v>
      </c>
      <c r="I433">
        <v>187</v>
      </c>
      <c r="J433">
        <v>360</v>
      </c>
      <c r="K433">
        <v>1</v>
      </c>
      <c r="L433" t="s">
        <v>636</v>
      </c>
      <c r="M433" t="s">
        <v>637</v>
      </c>
      <c r="N433">
        <f t="shared" si="9"/>
        <v>7383</v>
      </c>
    </row>
    <row r="434" spans="1:14" x14ac:dyDescent="0.3">
      <c r="A434" t="s">
        <v>1238</v>
      </c>
      <c r="B434" t="s">
        <v>629</v>
      </c>
      <c r="C434" t="s">
        <v>635</v>
      </c>
      <c r="D434">
        <v>0</v>
      </c>
      <c r="E434" t="s">
        <v>631</v>
      </c>
      <c r="F434" t="s">
        <v>635</v>
      </c>
      <c r="G434">
        <v>9963</v>
      </c>
      <c r="H434">
        <v>0</v>
      </c>
      <c r="I434">
        <v>180</v>
      </c>
      <c r="J434">
        <v>360</v>
      </c>
      <c r="K434">
        <v>1</v>
      </c>
      <c r="L434" t="s">
        <v>636</v>
      </c>
      <c r="M434" t="s">
        <v>633</v>
      </c>
      <c r="N434">
        <f t="shared" si="9"/>
        <v>9963</v>
      </c>
    </row>
    <row r="435" spans="1:14" x14ac:dyDescent="0.3">
      <c r="A435" t="s">
        <v>1239</v>
      </c>
      <c r="B435" t="s">
        <v>629</v>
      </c>
      <c r="C435" t="s">
        <v>635</v>
      </c>
      <c r="D435">
        <v>2</v>
      </c>
      <c r="E435" t="s">
        <v>631</v>
      </c>
      <c r="F435" t="s">
        <v>630</v>
      </c>
      <c r="G435">
        <v>5780</v>
      </c>
      <c r="H435">
        <v>0</v>
      </c>
      <c r="I435">
        <v>192</v>
      </c>
      <c r="J435">
        <v>360</v>
      </c>
      <c r="K435">
        <v>1</v>
      </c>
      <c r="L435" t="s">
        <v>632</v>
      </c>
      <c r="M435" t="s">
        <v>633</v>
      </c>
      <c r="N435">
        <f t="shared" si="9"/>
        <v>5780</v>
      </c>
    </row>
    <row r="436" spans="1:14" x14ac:dyDescent="0.3">
      <c r="A436" t="s">
        <v>1242</v>
      </c>
      <c r="B436" t="s">
        <v>629</v>
      </c>
      <c r="C436" t="s">
        <v>635</v>
      </c>
      <c r="D436" t="s">
        <v>645</v>
      </c>
      <c r="E436" t="s">
        <v>631</v>
      </c>
      <c r="F436" t="s">
        <v>630</v>
      </c>
      <c r="G436">
        <v>5703</v>
      </c>
      <c r="H436">
        <v>0</v>
      </c>
      <c r="I436">
        <v>128</v>
      </c>
      <c r="J436">
        <v>360</v>
      </c>
      <c r="K436">
        <v>1</v>
      </c>
      <c r="L436" t="s">
        <v>632</v>
      </c>
      <c r="M436" t="s">
        <v>633</v>
      </c>
      <c r="N436">
        <f t="shared" si="9"/>
        <v>5703</v>
      </c>
    </row>
    <row r="437" spans="1:14" x14ac:dyDescent="0.3">
      <c r="A437" t="s">
        <v>1243</v>
      </c>
      <c r="B437" t="s">
        <v>629</v>
      </c>
      <c r="C437" t="s">
        <v>630</v>
      </c>
      <c r="D437">
        <v>0</v>
      </c>
      <c r="E437" t="s">
        <v>631</v>
      </c>
      <c r="F437" t="s">
        <v>630</v>
      </c>
      <c r="G437">
        <v>3676</v>
      </c>
      <c r="H437">
        <v>4301</v>
      </c>
      <c r="I437">
        <v>172</v>
      </c>
      <c r="J437">
        <v>360</v>
      </c>
      <c r="K437">
        <v>1</v>
      </c>
      <c r="L437" t="s">
        <v>636</v>
      </c>
      <c r="M437" t="s">
        <v>633</v>
      </c>
      <c r="N437">
        <f t="shared" si="9"/>
        <v>7977</v>
      </c>
    </row>
    <row r="438" spans="1:14" x14ac:dyDescent="0.3">
      <c r="A438" t="s">
        <v>1246</v>
      </c>
      <c r="B438" t="s">
        <v>629</v>
      </c>
      <c r="C438" t="s">
        <v>635</v>
      </c>
      <c r="D438">
        <v>1</v>
      </c>
      <c r="E438" t="s">
        <v>631</v>
      </c>
      <c r="F438" t="s">
        <v>630</v>
      </c>
      <c r="G438">
        <v>3400</v>
      </c>
      <c r="H438">
        <v>2500</v>
      </c>
      <c r="I438">
        <v>173</v>
      </c>
      <c r="J438">
        <v>360</v>
      </c>
      <c r="K438">
        <v>1</v>
      </c>
      <c r="L438" t="s">
        <v>646</v>
      </c>
      <c r="M438" t="s">
        <v>633</v>
      </c>
      <c r="N438">
        <f t="shared" si="9"/>
        <v>5900</v>
      </c>
    </row>
    <row r="439" spans="1:14" x14ac:dyDescent="0.3">
      <c r="A439" t="s">
        <v>1247</v>
      </c>
      <c r="B439" t="s">
        <v>629</v>
      </c>
      <c r="C439" t="s">
        <v>635</v>
      </c>
      <c r="D439">
        <v>2</v>
      </c>
      <c r="E439" t="s">
        <v>640</v>
      </c>
      <c r="F439" t="s">
        <v>630</v>
      </c>
      <c r="G439">
        <v>3987</v>
      </c>
      <c r="H439">
        <v>1411</v>
      </c>
      <c r="I439">
        <v>157</v>
      </c>
      <c r="J439">
        <v>360</v>
      </c>
      <c r="K439">
        <v>1</v>
      </c>
      <c r="L439" t="s">
        <v>636</v>
      </c>
      <c r="M439" t="s">
        <v>633</v>
      </c>
      <c r="N439">
        <f t="shared" si="9"/>
        <v>5398</v>
      </c>
    </row>
    <row r="440" spans="1:14" x14ac:dyDescent="0.3">
      <c r="A440" t="s">
        <v>1248</v>
      </c>
      <c r="B440" t="s">
        <v>629</v>
      </c>
      <c r="C440" t="s">
        <v>635</v>
      </c>
      <c r="D440">
        <v>0</v>
      </c>
      <c r="E440" t="s">
        <v>631</v>
      </c>
      <c r="F440" t="s">
        <v>630</v>
      </c>
      <c r="G440">
        <v>3232</v>
      </c>
      <c r="H440">
        <v>1950</v>
      </c>
      <c r="I440">
        <v>108</v>
      </c>
      <c r="J440">
        <v>360</v>
      </c>
      <c r="K440">
        <v>1</v>
      </c>
      <c r="L440" t="s">
        <v>636</v>
      </c>
      <c r="M440" t="s">
        <v>633</v>
      </c>
      <c r="N440">
        <f t="shared" si="9"/>
        <v>5182</v>
      </c>
    </row>
    <row r="441" spans="1:14" x14ac:dyDescent="0.3">
      <c r="A441" t="s">
        <v>1249</v>
      </c>
      <c r="B441" t="s">
        <v>657</v>
      </c>
      <c r="C441" t="s">
        <v>630</v>
      </c>
      <c r="D441">
        <v>0</v>
      </c>
      <c r="E441" t="s">
        <v>631</v>
      </c>
      <c r="F441" t="s">
        <v>630</v>
      </c>
      <c r="G441">
        <v>2900</v>
      </c>
      <c r="H441">
        <v>0</v>
      </c>
      <c r="I441">
        <v>71</v>
      </c>
      <c r="J441">
        <v>360</v>
      </c>
      <c r="K441">
        <v>1</v>
      </c>
      <c r="L441" t="s">
        <v>636</v>
      </c>
      <c r="M441" t="s">
        <v>633</v>
      </c>
      <c r="N441">
        <f t="shared" si="9"/>
        <v>2900</v>
      </c>
    </row>
    <row r="442" spans="1:14" x14ac:dyDescent="0.3">
      <c r="A442" t="s">
        <v>1250</v>
      </c>
      <c r="B442" t="s">
        <v>629</v>
      </c>
      <c r="C442" t="s">
        <v>635</v>
      </c>
      <c r="D442" t="s">
        <v>645</v>
      </c>
      <c r="E442" t="s">
        <v>631</v>
      </c>
      <c r="F442" t="s">
        <v>630</v>
      </c>
      <c r="G442">
        <v>4106</v>
      </c>
      <c r="H442">
        <v>0</v>
      </c>
      <c r="I442">
        <v>40</v>
      </c>
      <c r="J442">
        <v>180</v>
      </c>
      <c r="K442">
        <v>1</v>
      </c>
      <c r="L442" t="s">
        <v>636</v>
      </c>
      <c r="M442" t="s">
        <v>633</v>
      </c>
      <c r="N442">
        <f t="shared" si="9"/>
        <v>4106</v>
      </c>
    </row>
    <row r="443" spans="1:14" x14ac:dyDescent="0.3">
      <c r="A443" t="s">
        <v>1251</v>
      </c>
      <c r="B443" t="s">
        <v>629</v>
      </c>
      <c r="C443" t="s">
        <v>635</v>
      </c>
      <c r="D443">
        <v>1</v>
      </c>
      <c r="E443" t="s">
        <v>631</v>
      </c>
      <c r="F443" t="s">
        <v>630</v>
      </c>
      <c r="G443">
        <v>8072</v>
      </c>
      <c r="H443">
        <v>240</v>
      </c>
      <c r="I443">
        <v>253</v>
      </c>
      <c r="J443">
        <v>360</v>
      </c>
      <c r="K443">
        <v>1</v>
      </c>
      <c r="L443" t="s">
        <v>632</v>
      </c>
      <c r="M443" t="s">
        <v>633</v>
      </c>
      <c r="N443">
        <f t="shared" si="9"/>
        <v>8312</v>
      </c>
    </row>
    <row r="444" spans="1:14" x14ac:dyDescent="0.3">
      <c r="A444" t="s">
        <v>1252</v>
      </c>
      <c r="B444" t="s">
        <v>629</v>
      </c>
      <c r="C444" t="s">
        <v>635</v>
      </c>
      <c r="D444">
        <v>2</v>
      </c>
      <c r="E444" t="s">
        <v>631</v>
      </c>
      <c r="F444" t="s">
        <v>630</v>
      </c>
      <c r="G444">
        <v>7583</v>
      </c>
      <c r="H444">
        <v>0</v>
      </c>
      <c r="I444">
        <v>187</v>
      </c>
      <c r="J444">
        <v>360</v>
      </c>
      <c r="K444">
        <v>1</v>
      </c>
      <c r="L444" t="s">
        <v>632</v>
      </c>
      <c r="M444" t="s">
        <v>633</v>
      </c>
      <c r="N444">
        <f t="shared" si="9"/>
        <v>7583</v>
      </c>
    </row>
    <row r="445" spans="1:14" x14ac:dyDescent="0.3">
      <c r="A445" t="s">
        <v>1253</v>
      </c>
      <c r="B445" t="s">
        <v>657</v>
      </c>
      <c r="C445" t="s">
        <v>630</v>
      </c>
      <c r="D445">
        <v>0</v>
      </c>
      <c r="E445" t="s">
        <v>631</v>
      </c>
      <c r="F445" t="s">
        <v>635</v>
      </c>
      <c r="G445">
        <v>4583</v>
      </c>
      <c r="H445">
        <v>0</v>
      </c>
      <c r="I445">
        <v>133</v>
      </c>
      <c r="J445">
        <v>360</v>
      </c>
      <c r="K445">
        <v>0</v>
      </c>
      <c r="L445" t="s">
        <v>646</v>
      </c>
      <c r="M445" t="s">
        <v>637</v>
      </c>
      <c r="N445">
        <f t="shared" si="9"/>
        <v>4583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7</vt:i4>
      </vt:variant>
    </vt:vector>
  </HeadingPairs>
  <TitlesOfParts>
    <vt:vector size="7" baseType="lpstr">
      <vt:lpstr>dữ liệu gốc</vt:lpstr>
      <vt:lpstr>Trình bày thông tin</vt:lpstr>
      <vt:lpstr>Xử lý dữ liệu khuyết</vt:lpstr>
      <vt:lpstr>Xử lý giá trị bất thường</vt:lpstr>
      <vt:lpstr>Xử lý giá trị trùng lặp(kocó)</vt:lpstr>
      <vt:lpstr>Sinh cột dữ liệu mới</vt:lpstr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2574601080193 - Tô Hoàng Bảo Ngọc - 71K31KHDL01</cp:lastModifiedBy>
  <dcterms:created xsi:type="dcterms:W3CDTF">2025-10-05T07:52:55Z</dcterms:created>
  <dcterms:modified xsi:type="dcterms:W3CDTF">2025-10-27T01:30:25Z</dcterms:modified>
</cp:coreProperties>
</file>